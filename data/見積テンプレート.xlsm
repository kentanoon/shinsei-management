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filterPrivacy="1" codeName="ThisWorkbook" defaultThemeVersion="124226"/>
  <xr:revisionPtr revIDLastSave="0" documentId="13_ncr:1_{89DF2305-858B-4D6C-998E-96FE0EC0FF0B}" xr6:coauthVersionLast="47" xr6:coauthVersionMax="47" xr10:uidLastSave="{00000000-0000-0000-0000-000000000000}"/>
  <bookViews>
    <workbookView xWindow="28680" yWindow="-120" windowWidth="29040" windowHeight="15720" activeTab="5" xr2:uid="{00000000-000D-0000-FFFF-FFFF00000000}"/>
  </bookViews>
  <sheets>
    <sheet name="見積書表紙" sheetId="9" r:id="rId1"/>
    <sheet name="明細" sheetId="7" r:id="rId2"/>
    <sheet name="性能明細書" sheetId="8" r:id="rId3"/>
    <sheet name="その他業務" sheetId="15" r:id="rId4"/>
    <sheet name="立替手数料" sheetId="14" r:id="rId5"/>
    <sheet name="請求書表紙" sheetId="11" r:id="rId6"/>
  </sheets>
  <definedNames>
    <definedName name="_xlnm.Print_Area" localSheetId="0">見積書表紙!$A$1:$T$29</definedName>
    <definedName name="_xlnm.Print_Area" localSheetId="4">立替手数料!$A$1:$I$26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14" l="1"/>
  <c r="H26" i="14" s="1"/>
  <c r="A21" i="14"/>
  <c r="E21" i="14"/>
  <c r="F21" i="14"/>
  <c r="A5" i="7"/>
  <c r="A6" i="7"/>
  <c r="A7" i="7"/>
  <c r="A8" i="7"/>
  <c r="A9" i="7"/>
  <c r="G23" i="15"/>
  <c r="E22" i="15"/>
  <c r="D22" i="15"/>
  <c r="A22" i="15"/>
  <c r="E17" i="15"/>
  <c r="E12" i="15"/>
  <c r="D12" i="15"/>
  <c r="A12" i="15"/>
  <c r="E11" i="15"/>
  <c r="D11" i="15"/>
  <c r="A11" i="15"/>
  <c r="E10" i="15"/>
  <c r="D10" i="15"/>
  <c r="A10" i="15"/>
  <c r="E9" i="15"/>
  <c r="A9" i="15"/>
  <c r="G23" i="8"/>
  <c r="G24" i="8" s="1"/>
  <c r="R6" i="11"/>
  <c r="R6" i="9"/>
  <c r="C9" i="11"/>
  <c r="A10" i="8"/>
  <c r="F13" i="11"/>
  <c r="G26" i="7" l="1"/>
  <c r="G27" i="7" s="1"/>
  <c r="G28" i="7" s="1"/>
  <c r="G25" i="8"/>
  <c r="G24" i="15"/>
  <c r="G25" i="15" s="1"/>
  <c r="P19" i="9" s="1"/>
  <c r="P19" i="11" l="1"/>
  <c r="A4" i="7"/>
  <c r="E22" i="8" l="1"/>
  <c r="E20" i="8"/>
  <c r="D22" i="8"/>
  <c r="C1" i="11" l="1"/>
  <c r="A22" i="8" l="1"/>
  <c r="E12" i="8"/>
  <c r="D12" i="8"/>
  <c r="A12" i="8"/>
  <c r="A11" i="8"/>
  <c r="A9" i="8"/>
  <c r="P18" i="9" l="1"/>
  <c r="P18" i="11" l="1"/>
  <c r="P17" i="11" l="1"/>
  <c r="M1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4" authorId="0" shapeId="0" xr:uid="{D43C11CF-6197-4BA5-952E-56566CEF80A8}">
      <text>
        <r>
          <rPr>
            <b/>
            <sz val="9"/>
            <color indexed="81"/>
            <rFont val="MS P ゴシック"/>
            <family val="3"/>
            <charset val="128"/>
          </rPr>
          <t xml:space="preserve">作成者:
</t>
        </r>
      </text>
    </comment>
  </commentList>
</comments>
</file>

<file path=xl/sharedStrings.xml><?xml version="1.0" encoding="utf-8"?>
<sst xmlns="http://schemas.openxmlformats.org/spreadsheetml/2006/main" count="107" uniqueCount="76">
  <si>
    <t xml:space="preserve">          内　訳　明　細　書</t>
  </si>
  <si>
    <t>1.建築確認申請業務一式</t>
    <rPh sb="2" eb="4">
      <t>ケンチク</t>
    </rPh>
    <rPh sb="4" eb="6">
      <t>カクニン</t>
    </rPh>
    <rPh sb="6" eb="8">
      <t>シンセイ</t>
    </rPh>
    <rPh sb="8" eb="10">
      <t>ギョウム</t>
    </rPh>
    <rPh sb="10" eb="12">
      <t>イッシキ</t>
    </rPh>
    <phoneticPr fontId="8"/>
  </si>
  <si>
    <t>数　　量</t>
  </si>
  <si>
    <t>単　位</t>
  </si>
  <si>
    <t>単　　価</t>
  </si>
  <si>
    <t>金　　額</t>
  </si>
  <si>
    <t>備　考</t>
  </si>
  <si>
    <t>【合　計】</t>
    <rPh sb="1" eb="2">
      <t>ゴウ</t>
    </rPh>
    <rPh sb="3" eb="4">
      <t>ケイ</t>
    </rPh>
    <phoneticPr fontId="8"/>
  </si>
  <si>
    <t>2.認定・性能評価申請業務一式</t>
    <rPh sb="2" eb="4">
      <t>ニンテイ</t>
    </rPh>
    <rPh sb="5" eb="7">
      <t>セイノウ</t>
    </rPh>
    <rPh sb="7" eb="9">
      <t>ヒョウカ</t>
    </rPh>
    <rPh sb="9" eb="11">
      <t>シンセイ</t>
    </rPh>
    <rPh sb="11" eb="13">
      <t>ギョウム</t>
    </rPh>
    <rPh sb="13" eb="15">
      <t>イッシキ</t>
    </rPh>
    <phoneticPr fontId="8"/>
  </si>
  <si>
    <t>御　見　積　書</t>
    <rPh sb="2" eb="3">
      <t>ミ</t>
    </rPh>
    <rPh sb="4" eb="5">
      <t>セキ</t>
    </rPh>
    <rPh sb="6" eb="7">
      <t>ショ</t>
    </rPh>
    <phoneticPr fontId="8"/>
  </si>
  <si>
    <t>御中</t>
    <rPh sb="0" eb="2">
      <t>オンチュウ</t>
    </rPh>
    <phoneticPr fontId="16"/>
  </si>
  <si>
    <t>この度は弊社をお引き立てくださいまして誠にありがとうございます。下記の通りお見積り申し上げます。</t>
    <rPh sb="38" eb="40">
      <t>ミツモ</t>
    </rPh>
    <rPh sb="41" eb="42">
      <t>モウ</t>
    </rPh>
    <rPh sb="43" eb="44">
      <t>ア</t>
    </rPh>
    <phoneticPr fontId="8"/>
  </si>
  <si>
    <t>受注件名：</t>
    <rPh sb="0" eb="2">
      <t>ジュチュウ</t>
    </rPh>
    <rPh sb="2" eb="3">
      <t>ケン</t>
    </rPh>
    <rPh sb="3" eb="4">
      <t>メイ</t>
    </rPh>
    <phoneticPr fontId="8"/>
  </si>
  <si>
    <t>御見積額</t>
    <rPh sb="0" eb="3">
      <t>オミツモリ</t>
    </rPh>
    <rPh sb="3" eb="4">
      <t>ガク</t>
    </rPh>
    <phoneticPr fontId="8"/>
  </si>
  <si>
    <t>内訳</t>
    <rPh sb="0" eb="2">
      <t>ウチワケ</t>
    </rPh>
    <phoneticPr fontId="8"/>
  </si>
  <si>
    <t>株式会社LANTAS</t>
    <rPh sb="0" eb="4">
      <t>カブシキカイシャ</t>
    </rPh>
    <phoneticPr fontId="8"/>
  </si>
  <si>
    <t>納期</t>
    <rPh sb="0" eb="2">
      <t>ノウキ</t>
    </rPh>
    <phoneticPr fontId="8"/>
  </si>
  <si>
    <t>Magnifico建築スタジオ</t>
    <phoneticPr fontId="16"/>
  </si>
  <si>
    <t>〒960-0501</t>
    <phoneticPr fontId="16"/>
  </si>
  <si>
    <t>別途お見積り・ご案内いたします。</t>
    <rPh sb="0" eb="2">
      <t>ベット</t>
    </rPh>
    <rPh sb="3" eb="5">
      <t>ミツモ</t>
    </rPh>
    <rPh sb="8" eb="10">
      <t>アンナイ</t>
    </rPh>
    <phoneticPr fontId="8"/>
  </si>
  <si>
    <t>福島県伊達市伏黒字東平26-1</t>
    <rPh sb="0" eb="3">
      <t>フクシマケン</t>
    </rPh>
    <rPh sb="3" eb="6">
      <t>ダテシ</t>
    </rPh>
    <rPh sb="6" eb="11">
      <t>フシグロアザヒガシタイラ</t>
    </rPh>
    <phoneticPr fontId="16"/>
  </si>
  <si>
    <t>銀行振り込み</t>
    <rPh sb="0" eb="2">
      <t>ギンコウ</t>
    </rPh>
    <rPh sb="2" eb="3">
      <t>フ</t>
    </rPh>
    <rPh sb="4" eb="5">
      <t>コ</t>
    </rPh>
    <phoneticPr fontId="8"/>
  </si>
  <si>
    <t>TEL 024-573-0260</t>
    <phoneticPr fontId="16"/>
  </si>
  <si>
    <t>FAX 024-573-0261</t>
    <phoneticPr fontId="16"/>
  </si>
  <si>
    <t>3か月</t>
    <rPh sb="2" eb="3">
      <t>ゲツ</t>
    </rPh>
    <phoneticPr fontId="8"/>
  </si>
  <si>
    <t>備考</t>
    <rPh sb="0" eb="2">
      <t>ビコウ</t>
    </rPh>
    <phoneticPr fontId="8"/>
  </si>
  <si>
    <t>管理番号</t>
    <rPh sb="0" eb="2">
      <t>カンリ</t>
    </rPh>
    <rPh sb="2" eb="4">
      <t>バンゴウ</t>
    </rPh>
    <phoneticPr fontId="1"/>
  </si>
  <si>
    <t>お引受時の内容との変更や役所協議等により追加業務が発生した場合は、</t>
    <rPh sb="1" eb="2">
      <t>ヒ</t>
    </rPh>
    <rPh sb="2" eb="3">
      <t>ウ</t>
    </rPh>
    <rPh sb="3" eb="4">
      <t>ジ</t>
    </rPh>
    <rPh sb="5" eb="7">
      <t>ナイヨウ</t>
    </rPh>
    <rPh sb="9" eb="11">
      <t>ヘンコウ</t>
    </rPh>
    <rPh sb="12" eb="14">
      <t>ヤクショ</t>
    </rPh>
    <rPh sb="14" eb="16">
      <t>キョウギ</t>
    </rPh>
    <rPh sb="16" eb="17">
      <t>トウ</t>
    </rPh>
    <rPh sb="20" eb="22">
      <t>ツイカ</t>
    </rPh>
    <rPh sb="22" eb="24">
      <t>ギョウム</t>
    </rPh>
    <rPh sb="25" eb="27">
      <t>ハッセイ</t>
    </rPh>
    <rPh sb="29" eb="31">
      <t>バアイ</t>
    </rPh>
    <phoneticPr fontId="8"/>
  </si>
  <si>
    <t>この度は弊社をお引き立てくださいまして誠にありがとうございます。下記の通りご請求申し上げます。</t>
    <rPh sb="38" eb="40">
      <t>セイキュウ</t>
    </rPh>
    <rPh sb="40" eb="41">
      <t>モウ</t>
    </rPh>
    <rPh sb="42" eb="43">
      <t>ア</t>
    </rPh>
    <phoneticPr fontId="8"/>
  </si>
  <si>
    <t>振込口座</t>
  </si>
  <si>
    <t>福島信用金庫　：　本店</t>
  </si>
  <si>
    <t>預金種目　　　：　普通</t>
  </si>
  <si>
    <t>口座番号　　　：　0490225</t>
  </si>
  <si>
    <t>口座名義人　　：  ｶ）ﾗﾝﾀｽ</t>
  </si>
  <si>
    <t>御　請　求　書</t>
    <phoneticPr fontId="8"/>
  </si>
  <si>
    <t>備考</t>
    <phoneticPr fontId="1"/>
  </si>
  <si>
    <t>確認申請業務については、確認済証交付後にご請求となります。</t>
    <rPh sb="0" eb="2">
      <t>カクニン</t>
    </rPh>
    <rPh sb="2" eb="4">
      <t>シンセイ</t>
    </rPh>
    <rPh sb="4" eb="6">
      <t>ギョウム</t>
    </rPh>
    <rPh sb="12" eb="14">
      <t>カクニン</t>
    </rPh>
    <rPh sb="14" eb="15">
      <t>ズ</t>
    </rPh>
    <rPh sb="15" eb="16">
      <t>ショウ</t>
    </rPh>
    <rPh sb="16" eb="18">
      <t>コウフ</t>
    </rPh>
    <rPh sb="18" eb="19">
      <t>ゴ</t>
    </rPh>
    <rPh sb="21" eb="23">
      <t>セイキュウ</t>
    </rPh>
    <phoneticPr fontId="8"/>
  </si>
  <si>
    <t>認定・性能評価申請業務については、認定通知書・評価書交付後にご請求となります。</t>
    <rPh sb="0" eb="2">
      <t>ニンテイ</t>
    </rPh>
    <rPh sb="3" eb="5">
      <t>セイノウ</t>
    </rPh>
    <rPh sb="5" eb="7">
      <t>ヒョウカ</t>
    </rPh>
    <rPh sb="7" eb="9">
      <t>シンセイ</t>
    </rPh>
    <rPh sb="9" eb="11">
      <t>ギョウム</t>
    </rPh>
    <rPh sb="17" eb="19">
      <t>ニンテイ</t>
    </rPh>
    <rPh sb="19" eb="22">
      <t>ツウチショ</t>
    </rPh>
    <rPh sb="23" eb="25">
      <t>ヒョウカ</t>
    </rPh>
    <rPh sb="25" eb="26">
      <t>ショ</t>
    </rPh>
    <rPh sb="26" eb="28">
      <t>コウフ</t>
    </rPh>
    <rPh sb="28" eb="29">
      <t>ゴ</t>
    </rPh>
    <rPh sb="31" eb="33">
      <t>セイキュウ</t>
    </rPh>
    <phoneticPr fontId="8"/>
  </si>
  <si>
    <t>1.建築確認申請業務一式</t>
  </si>
  <si>
    <t>2.認定・性能評価申請業務一式</t>
  </si>
  <si>
    <t>御請求額</t>
    <rPh sb="0" eb="1">
      <t>ゴ</t>
    </rPh>
    <rPh sb="1" eb="3">
      <t>セイキュウ</t>
    </rPh>
    <rPh sb="3" eb="4">
      <t>ガク</t>
    </rPh>
    <phoneticPr fontId="8"/>
  </si>
  <si>
    <t>登録番号　T8-3800-0102-9704</t>
    <rPh sb="0" eb="4">
      <t>トウロクバンゴウ</t>
    </rPh>
    <phoneticPr fontId="8"/>
  </si>
  <si>
    <t>金額</t>
    <rPh sb="0" eb="2">
      <t>キンガク</t>
    </rPh>
    <phoneticPr fontId="1"/>
  </si>
  <si>
    <t>備考</t>
    <rPh sb="0" eb="2">
      <t>ビコウ</t>
    </rPh>
    <phoneticPr fontId="1"/>
  </si>
  <si>
    <t>3.その他業務一式</t>
    <rPh sb="4" eb="5">
      <t>タ</t>
    </rPh>
    <phoneticPr fontId="1"/>
  </si>
  <si>
    <t>支払条件</t>
    <phoneticPr fontId="1"/>
  </si>
  <si>
    <t>有効期限</t>
    <phoneticPr fontId="1"/>
  </si>
  <si>
    <t>案件名</t>
    <rPh sb="0" eb="2">
      <t>アンケン</t>
    </rPh>
    <rPh sb="2" eb="3">
      <t>メイ</t>
    </rPh>
    <phoneticPr fontId="1"/>
  </si>
  <si>
    <t>恐れ入りますが、振込手数料はご負担いただきますよう、</t>
    <rPh sb="0" eb="1">
      <t>オソ</t>
    </rPh>
    <rPh sb="2" eb="3">
      <t>イ</t>
    </rPh>
    <rPh sb="8" eb="13">
      <t>フリコミテスウリョウ</t>
    </rPh>
    <rPh sb="15" eb="17">
      <t>フタン</t>
    </rPh>
    <phoneticPr fontId="1"/>
  </si>
  <si>
    <t>お願いいたします。</t>
    <rPh sb="1" eb="2">
      <t>ネガ</t>
    </rPh>
    <phoneticPr fontId="1"/>
  </si>
  <si>
    <t>延床面積(㎡)</t>
    <rPh sb="0" eb="2">
      <t>ノベユカ</t>
    </rPh>
    <rPh sb="2" eb="4">
      <t>メンセキ</t>
    </rPh>
    <phoneticPr fontId="1"/>
  </si>
  <si>
    <t>建築面積(㎡)</t>
    <rPh sb="0" eb="4">
      <t>ケンチクメンセキ</t>
    </rPh>
    <phoneticPr fontId="1"/>
  </si>
  <si>
    <t>確定プラン、必要データを頂いてから約2か月.</t>
    <rPh sb="0" eb="2">
      <t>カクテイ</t>
    </rPh>
    <rPh sb="6" eb="8">
      <t>ヒツヨウ</t>
    </rPh>
    <rPh sb="12" eb="13">
      <t>イタダ</t>
    </rPh>
    <rPh sb="17" eb="18">
      <t>ヤク</t>
    </rPh>
    <rPh sb="20" eb="21">
      <t>ゲツ</t>
    </rPh>
    <phoneticPr fontId="8"/>
  </si>
  <si>
    <t>【　小　計　】</t>
  </si>
  <si>
    <t>【　消費税　】</t>
  </si>
  <si>
    <t>3.その他業務</t>
    <rPh sb="4" eb="5">
      <t>タ</t>
    </rPh>
    <rPh sb="5" eb="7">
      <t>ギョウム</t>
    </rPh>
    <phoneticPr fontId="8"/>
  </si>
  <si>
    <t>①</t>
    <phoneticPr fontId="1"/>
  </si>
  <si>
    <t>1.建築確認申請業務</t>
    <phoneticPr fontId="1"/>
  </si>
  <si>
    <t>2.認定・性能評価申請業務</t>
    <phoneticPr fontId="1"/>
  </si>
  <si>
    <t>3.その他業務</t>
    <rPh sb="4" eb="5">
      <t>タ</t>
    </rPh>
    <phoneticPr fontId="1"/>
  </si>
  <si>
    <t>【納付手数料　＊非課税分】</t>
    <phoneticPr fontId="1"/>
  </si>
  <si>
    <t>②</t>
    <phoneticPr fontId="1"/>
  </si>
  <si>
    <t>①＋②</t>
    <phoneticPr fontId="1"/>
  </si>
  <si>
    <t>建築確認申請業務</t>
    <rPh sb="0" eb="2">
      <t>ケンチク</t>
    </rPh>
    <rPh sb="2" eb="4">
      <t>カクニン</t>
    </rPh>
    <rPh sb="4" eb="6">
      <t>シンセイ</t>
    </rPh>
    <rPh sb="6" eb="8">
      <t>ギョウム</t>
    </rPh>
    <phoneticPr fontId="8"/>
  </si>
  <si>
    <t>関連申請業務</t>
    <rPh sb="0" eb="2">
      <t>カンレン</t>
    </rPh>
    <rPh sb="2" eb="4">
      <t>シンセイ</t>
    </rPh>
    <rPh sb="4" eb="6">
      <t>ギョウム</t>
    </rPh>
    <phoneticPr fontId="8"/>
  </si>
  <si>
    <t>その他業務</t>
    <rPh sb="2" eb="3">
      <t>ホカ</t>
    </rPh>
    <rPh sb="3" eb="5">
      <t>ギョウム</t>
    </rPh>
    <phoneticPr fontId="8"/>
  </si>
  <si>
    <t>【予定】審査機関納付手数料</t>
    <rPh sb="1" eb="3">
      <t>ヨテイ</t>
    </rPh>
    <rPh sb="4" eb="13">
      <t>シンサキカンノウフテスウリョウ</t>
    </rPh>
    <phoneticPr fontId="1"/>
  </si>
  <si>
    <t>備　考</t>
    <phoneticPr fontId="1"/>
  </si>
  <si>
    <t>支払い先</t>
    <rPh sb="0" eb="2">
      <t>シハラ</t>
    </rPh>
    <rPh sb="3" eb="4">
      <t>サキ</t>
    </rPh>
    <phoneticPr fontId="1"/>
  </si>
  <si>
    <t>【　小　計　】</t>
    <phoneticPr fontId="1"/>
  </si>
  <si>
    <t>【　消費税　】</t>
    <phoneticPr fontId="1"/>
  </si>
  <si>
    <t>【納付手数料　＊課税分】</t>
    <phoneticPr fontId="1"/>
  </si>
  <si>
    <t>※審査機関への納付手数料は
含まれておりません。
詳細は4ページをご参照下さい。</t>
    <rPh sb="1" eb="5">
      <t>シンサキカン</t>
    </rPh>
    <rPh sb="7" eb="12">
      <t>ノウフテスウリョウ</t>
    </rPh>
    <rPh sb="14" eb="15">
      <t>フク</t>
    </rPh>
    <phoneticPr fontId="1"/>
  </si>
  <si>
    <r>
      <t xml:space="preserve">※1 建築確認申請手数料および技術的検査手数料は、申請業務と併せてご請求いたします。
※2 中間・完了検査手数料は、検査当日の現金払いまたは事前振込をお願いいたします。
(検査申し込み時に改めてご案内致します。）
</t>
    </r>
    <r>
      <rPr>
        <b/>
        <u/>
        <sz val="12"/>
        <color rgb="FFFF0000"/>
        <rFont val="ＭＳ 明朝"/>
        <family val="1"/>
        <charset val="128"/>
      </rPr>
      <t>※3 下記手数料はお見積額に含まれておりませんので、ご注意下さい。</t>
    </r>
    <rPh sb="86" eb="88">
      <t>ケンサ</t>
    </rPh>
    <rPh sb="88" eb="89">
      <t>モウ</t>
    </rPh>
    <rPh sb="90" eb="91">
      <t>コ</t>
    </rPh>
    <rPh sb="92" eb="93">
      <t>ジ</t>
    </rPh>
    <rPh sb="94" eb="95">
      <t>アラタ</t>
    </rPh>
    <rPh sb="98" eb="100">
      <t>アンナイ</t>
    </rPh>
    <rPh sb="100" eb="101">
      <t>イタ</t>
    </rPh>
    <rPh sb="119" eb="120">
      <t>ガク</t>
    </rPh>
    <rPh sb="134" eb="136">
      <t>チュウイ</t>
    </rPh>
    <rPh sb="136" eb="137">
      <t>クダ</t>
    </rPh>
    <phoneticPr fontId="1"/>
  </si>
  <si>
    <r>
      <t>【建物法種別：新</t>
    </r>
    <r>
      <rPr>
        <b/>
        <sz val="10"/>
        <color rgb="FFFF0000"/>
        <rFont val="ＭＳ 明朝"/>
        <family val="1"/>
        <charset val="128"/>
      </rPr>
      <t>3号</t>
    </r>
    <r>
      <rPr>
        <b/>
        <sz val="10"/>
        <rFont val="ＭＳ 明朝"/>
        <family val="1"/>
        <charset val="128"/>
      </rPr>
      <t>建築物】</t>
    </r>
    <phoneticPr fontId="1"/>
  </si>
  <si>
    <t>＊離れの面積を含む</t>
    <rPh sb="1" eb="2">
      <t>ハナ</t>
    </rPh>
    <rPh sb="4" eb="6">
      <t>メンセキ</t>
    </rPh>
    <rPh sb="7" eb="8">
      <t>フク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</si>
</sst>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 &quot;¥&quot;* #,##0_ ;_ &quot;¥&quot;* \-#,##0_ ;_ &quot;¥&quot;* &quot;-&quot;_ ;_ @_ "/>
    <numFmt numFmtId="176" formatCode="&quot;Page.&quot;\ 0"/>
    <numFmt numFmtId="177" formatCode="[$-F800]dddd\,\ mmmm\ dd\,\ yyyy"/>
    <numFmt numFmtId="178" formatCode="#,##0_ "/>
    <numFmt numFmtId="179" formatCode="#,##0_ ;[Red]\-#,##0\ "/>
    <numFmt numFmtId="180" formatCode="########"/>
    <numFmt numFmtId="181" formatCode="[$-411]ggge&quot;年&quot;m&quot;月&quot;d&quot;日&quot;;@"/>
    <numFmt numFmtId="182" formatCode="&quot;¥&quot;#,##0&quot;.-&quot;;&quot;¥&quot;\-#,##0&quot;.-&quot;"/>
    <numFmt numFmtId="183" formatCode="#,##0_);\(#,##0\)"/>
  </numFmts>
  <fonts count="43">
    <font>
      <sz val="11"/>
      <color theme="1"/>
      <name val="ＭＳ Ｐゴシック"/>
      <family val="2"/>
      <scheme val="minor"/>
    </font>
    <font>
      <sz val="6"/>
      <name val="ＭＳ Ｐゴシック"/>
      <family val="3"/>
      <charset val="128"/>
      <scheme val="minor"/>
    </font>
    <font>
      <sz val="11"/>
      <color indexed="8"/>
      <name val="ＭＳ Ｐゴシック"/>
      <family val="3"/>
      <charset val="128"/>
    </font>
    <font>
      <sz val="11"/>
      <name val="ＭＳ 明朝"/>
      <family val="1"/>
      <charset val="128"/>
    </font>
    <font>
      <sz val="22"/>
      <name val="ＭＳ 明朝"/>
      <family val="1"/>
      <charset val="128"/>
    </font>
    <font>
      <sz val="16"/>
      <name val="ＭＳ 明朝"/>
      <family val="1"/>
      <charset val="128"/>
    </font>
    <font>
      <sz val="9"/>
      <name val="ＭＳ 明朝"/>
      <family val="1"/>
      <charset val="128"/>
    </font>
    <font>
      <b/>
      <sz val="11"/>
      <name val="ＭＳ 明朝"/>
      <family val="1"/>
      <charset val="128"/>
    </font>
    <font>
      <sz val="6"/>
      <name val="ＭＳ Ｐゴシック"/>
      <family val="3"/>
      <charset val="128"/>
    </font>
    <font>
      <b/>
      <sz val="10"/>
      <name val="ＭＳ 明朝"/>
      <family val="1"/>
      <charset val="128"/>
    </font>
    <font>
      <sz val="10"/>
      <name val="ＭＳ 明朝"/>
      <family val="1"/>
      <charset val="128"/>
    </font>
    <font>
      <b/>
      <sz val="9"/>
      <name val="ＭＳ 明朝"/>
      <family val="1"/>
      <charset val="128"/>
    </font>
    <font>
      <sz val="11"/>
      <color theme="1"/>
      <name val="ＭＳ Ｐゴシック"/>
      <family val="2"/>
      <scheme val="minor"/>
    </font>
    <font>
      <sz val="9"/>
      <color rgb="FFFF0000"/>
      <name val="ＭＳ 明朝"/>
      <family val="1"/>
      <charset val="128"/>
    </font>
    <font>
      <sz val="9"/>
      <color theme="1"/>
      <name val="ＭＳ 明朝"/>
      <family val="1"/>
      <charset val="128"/>
    </font>
    <font>
      <sz val="14"/>
      <name val="ＭＳ 明朝"/>
      <family val="1"/>
      <charset val="128"/>
    </font>
    <font>
      <b/>
      <sz val="26"/>
      <name val="ＭＳ 明朝"/>
      <family val="1"/>
      <charset val="128"/>
    </font>
    <font>
      <sz val="11"/>
      <color rgb="FFFF0000"/>
      <name val="ＭＳ 明朝"/>
      <family val="1"/>
      <charset val="128"/>
    </font>
    <font>
      <sz val="12"/>
      <name val="ＭＳ 明朝"/>
      <family val="1"/>
      <charset val="128"/>
    </font>
    <font>
      <b/>
      <sz val="11"/>
      <color indexed="8"/>
      <name val="ＭＳ Ｐゴシック"/>
      <family val="3"/>
      <charset val="128"/>
    </font>
    <font>
      <b/>
      <sz val="20"/>
      <name val="ＭＳ 明朝"/>
      <family val="1"/>
      <charset val="128"/>
    </font>
    <font>
      <b/>
      <i/>
      <sz val="26"/>
      <name val="ＭＳ 明朝"/>
      <family val="1"/>
      <charset val="128"/>
    </font>
    <font>
      <b/>
      <sz val="12"/>
      <name val="ＭＳ 明朝"/>
      <family val="1"/>
      <charset val="128"/>
    </font>
    <font>
      <b/>
      <i/>
      <sz val="12"/>
      <name val="ＭＳ 明朝"/>
      <family val="1"/>
      <charset val="128"/>
    </font>
    <font>
      <sz val="10"/>
      <color indexed="8"/>
      <name val="ＭＳ Ｐゴシック"/>
      <family val="3"/>
      <charset val="128"/>
    </font>
    <font>
      <sz val="8"/>
      <name val="ＭＳ 明朝"/>
      <family val="1"/>
      <charset val="128"/>
    </font>
    <font>
      <sz val="11"/>
      <color indexed="8"/>
      <name val="ＭＳ 明朝"/>
      <family val="1"/>
      <charset val="128"/>
    </font>
    <font>
      <sz val="9"/>
      <color indexed="8"/>
      <name val="ＭＳ 明朝"/>
      <family val="1"/>
      <charset val="128"/>
    </font>
    <font>
      <b/>
      <sz val="9"/>
      <color indexed="8"/>
      <name val="ＭＳ 明朝"/>
      <family val="1"/>
      <charset val="128"/>
    </font>
    <font>
      <strike/>
      <sz val="10"/>
      <name val="ＭＳ 明朝"/>
      <family val="1"/>
      <charset val="128"/>
    </font>
    <font>
      <b/>
      <sz val="11"/>
      <color rgb="FFFF0000"/>
      <name val="ＭＳ 明朝"/>
      <family val="1"/>
      <charset val="128"/>
    </font>
    <font>
      <b/>
      <sz val="14"/>
      <color rgb="FFFF0000"/>
      <name val="ＭＳ 明朝"/>
      <family val="1"/>
      <charset val="128"/>
    </font>
    <font>
      <b/>
      <sz val="12"/>
      <color rgb="FFFF0000"/>
      <name val="ＭＳ 明朝"/>
      <family val="1"/>
      <charset val="128"/>
    </font>
    <font>
      <sz val="8"/>
      <color rgb="FFFF0000"/>
      <name val="ＭＳ 明朝"/>
      <family val="1"/>
      <charset val="128"/>
    </font>
    <font>
      <b/>
      <sz val="9"/>
      <color indexed="81"/>
      <name val="MS P ゴシック"/>
      <family val="3"/>
      <charset val="128"/>
    </font>
    <font>
      <sz val="10"/>
      <color rgb="FFFF0000"/>
      <name val="ＭＳ 明朝"/>
      <family val="1"/>
      <charset val="128"/>
    </font>
    <font>
      <b/>
      <sz val="14"/>
      <name val="ＭＳ 明朝"/>
      <family val="1"/>
      <charset val="128"/>
    </font>
    <font>
      <sz val="8"/>
      <color indexed="8"/>
      <name val="ＭＳ 明朝"/>
      <family val="1"/>
      <charset val="128"/>
    </font>
    <font>
      <sz val="8"/>
      <color theme="1"/>
      <name val="ＭＳ 明朝"/>
      <family val="1"/>
      <charset val="128"/>
    </font>
    <font>
      <b/>
      <sz val="11"/>
      <color indexed="8"/>
      <name val="ＭＳ 明朝"/>
      <family val="1"/>
      <charset val="128"/>
    </font>
    <font>
      <b/>
      <u/>
      <sz val="12"/>
      <color rgb="FFFF0000"/>
      <name val="ＭＳ 明朝"/>
      <family val="1"/>
      <charset val="128"/>
    </font>
    <font>
      <b/>
      <i/>
      <sz val="14"/>
      <color rgb="FFFF0000"/>
      <name val="ＭＳ 明朝"/>
      <family val="1"/>
      <charset val="128"/>
    </font>
    <font>
      <b/>
      <sz val="10"/>
      <color rgb="FFFF0000"/>
      <name val="ＭＳ 明朝"/>
      <family val="1"/>
      <charset val="128"/>
    </font>
  </fonts>
  <fills count="7">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2"/>
        <bgColor indexed="64"/>
      </patternFill>
    </fill>
    <fill>
      <patternFill patternType="solid">
        <fgColor theme="0" tint="-0.249977111117893"/>
        <bgColor indexed="64"/>
      </patternFill>
    </fill>
  </fills>
  <borders count="70">
    <border>
      <left/>
      <right/>
      <top/>
      <bottom/>
      <diagonal/>
    </border>
    <border>
      <left/>
      <right/>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diagonal/>
    </border>
    <border>
      <left/>
      <right/>
      <top style="thin">
        <color indexed="64"/>
      </top>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hair">
        <color indexed="64"/>
      </left>
      <right/>
      <top style="hair">
        <color indexed="64"/>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diagonal/>
    </border>
    <border>
      <left style="hair">
        <color indexed="64"/>
      </left>
      <right style="medium">
        <color indexed="64"/>
      </right>
      <top style="hair">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hair">
        <color indexed="64"/>
      </right>
      <top style="hair">
        <color indexed="64"/>
      </top>
      <bottom/>
      <diagonal/>
    </border>
    <border>
      <left style="medium">
        <color indexed="64"/>
      </left>
      <right/>
      <top style="hair">
        <color indexed="64"/>
      </top>
      <bottom style="hair">
        <color indexed="64"/>
      </bottom>
      <diagonal/>
    </border>
    <border>
      <left/>
      <right style="hair">
        <color indexed="64"/>
      </right>
      <top style="thin">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bottom/>
      <diagonal/>
    </border>
    <border>
      <left/>
      <right style="hair">
        <color indexed="64"/>
      </right>
      <top style="medium">
        <color indexed="64"/>
      </top>
      <bottom style="medium">
        <color indexed="64"/>
      </bottom>
      <diagonal/>
    </border>
    <border>
      <left style="medium">
        <color indexed="64"/>
      </left>
      <right style="hair">
        <color indexed="64"/>
      </right>
      <top/>
      <bottom/>
      <diagonal/>
    </border>
    <border>
      <left style="hair">
        <color indexed="64"/>
      </left>
      <right/>
      <top style="thin">
        <color indexed="64"/>
      </top>
      <bottom/>
      <diagonal/>
    </border>
    <border>
      <left style="hair">
        <color indexed="64"/>
      </left>
      <right/>
      <top style="medium">
        <color indexed="64"/>
      </top>
      <bottom style="medium">
        <color indexed="64"/>
      </bottom>
      <diagonal/>
    </border>
    <border>
      <left/>
      <right/>
      <top/>
      <bottom style="hair">
        <color indexed="64"/>
      </bottom>
      <diagonal/>
    </border>
    <border>
      <left/>
      <right style="hair">
        <color indexed="64"/>
      </right>
      <top/>
      <bottom style="hair">
        <color indexed="64"/>
      </bottom>
      <diagonal/>
    </border>
    <border>
      <left style="hair">
        <color indexed="64"/>
      </left>
      <right style="medium">
        <color indexed="64"/>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medium">
        <color indexed="64"/>
      </left>
      <right/>
      <top style="hair">
        <color indexed="64"/>
      </top>
      <bottom/>
      <diagonal/>
    </border>
    <border>
      <left style="hair">
        <color indexed="64"/>
      </left>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diagonal/>
    </border>
  </borders>
  <cellStyleXfs count="3">
    <xf numFmtId="0" fontId="0" fillId="0" borderId="0"/>
    <xf numFmtId="0" fontId="2" fillId="0" borderId="0"/>
    <xf numFmtId="0" fontId="12" fillId="0" borderId="0"/>
  </cellStyleXfs>
  <cellXfs count="415">
    <xf numFmtId="0" fontId="0" fillId="0" borderId="0" xfId="0"/>
    <xf numFmtId="0" fontId="4" fillId="0" borderId="0" xfId="1" applyFont="1" applyAlignment="1">
      <alignment horizontal="center"/>
    </xf>
    <xf numFmtId="0" fontId="5" fillId="0" borderId="0" xfId="1" applyFont="1"/>
    <xf numFmtId="38" fontId="4" fillId="0" borderId="0" xfId="1" applyNumberFormat="1" applyFont="1" applyAlignment="1">
      <alignment horizontal="center"/>
    </xf>
    <xf numFmtId="176" fontId="6" fillId="0" borderId="0" xfId="1" applyNumberFormat="1" applyFont="1" applyAlignment="1">
      <alignment horizontal="right" vertical="center"/>
    </xf>
    <xf numFmtId="38" fontId="6" fillId="0" borderId="6" xfId="1" applyNumberFormat="1" applyFont="1" applyBorder="1" applyAlignment="1">
      <alignment horizontal="right" vertical="center" shrinkToFit="1"/>
    </xf>
    <xf numFmtId="38" fontId="6" fillId="0" borderId="5" xfId="1" applyNumberFormat="1" applyFont="1" applyBorder="1" applyAlignment="1">
      <alignment horizontal="right" vertical="center" shrinkToFit="1"/>
    </xf>
    <xf numFmtId="0" fontId="6" fillId="0" borderId="6" xfId="1" applyFont="1" applyBorder="1" applyAlignment="1">
      <alignment vertical="center"/>
    </xf>
    <xf numFmtId="0" fontId="6" fillId="0" borderId="6" xfId="1" applyFont="1" applyBorder="1" applyAlignment="1">
      <alignment horizontal="center" vertical="center"/>
    </xf>
    <xf numFmtId="38" fontId="6" fillId="0" borderId="9" xfId="1" applyNumberFormat="1" applyFont="1" applyBorder="1" applyAlignment="1">
      <alignment horizontal="right" vertical="center" shrinkToFit="1"/>
    </xf>
    <xf numFmtId="0" fontId="6" fillId="0" borderId="0" xfId="1" applyFont="1" applyAlignment="1">
      <alignment vertical="center"/>
    </xf>
    <xf numFmtId="178" fontId="6" fillId="0" borderId="0" xfId="1" applyNumberFormat="1" applyFont="1" applyAlignment="1">
      <alignment horizontal="right" vertical="center"/>
    </xf>
    <xf numFmtId="0" fontId="6" fillId="0" borderId="0" xfId="1" applyFont="1" applyAlignment="1">
      <alignment horizontal="center" vertical="center"/>
    </xf>
    <xf numFmtId="38" fontId="6" fillId="0" borderId="0" xfId="1" applyNumberFormat="1" applyFont="1" applyAlignment="1">
      <alignment horizontal="right" vertical="center"/>
    </xf>
    <xf numFmtId="38" fontId="6" fillId="0" borderId="0" xfId="1" applyNumberFormat="1" applyFont="1" applyAlignment="1">
      <alignment horizontal="right" vertical="center" shrinkToFit="1"/>
    </xf>
    <xf numFmtId="0" fontId="6" fillId="0" borderId="0" xfId="1" applyFont="1"/>
    <xf numFmtId="0" fontId="13" fillId="0" borderId="0" xfId="1" applyFont="1" applyAlignment="1">
      <alignment vertical="center"/>
    </xf>
    <xf numFmtId="38" fontId="6" fillId="0" borderId="6" xfId="0" applyNumberFormat="1" applyFont="1" applyBorder="1" applyAlignment="1">
      <alignment horizontal="right" vertical="center" shrinkToFit="1"/>
    </xf>
    <xf numFmtId="38" fontId="6" fillId="0" borderId="4" xfId="0" applyNumberFormat="1" applyFont="1" applyBorder="1" applyAlignment="1">
      <alignment horizontal="right" vertical="center" shrinkToFit="1"/>
    </xf>
    <xf numFmtId="38" fontId="6" fillId="0" borderId="6" xfId="1" applyNumberFormat="1" applyFont="1" applyBorder="1" applyAlignment="1">
      <alignment horizontal="right" vertical="center"/>
    </xf>
    <xf numFmtId="38" fontId="14" fillId="0" borderId="4" xfId="0" applyNumberFormat="1" applyFont="1" applyBorder="1" applyAlignment="1">
      <alignment horizontal="right" vertical="center"/>
    </xf>
    <xf numFmtId="38" fontId="14" fillId="0" borderId="6" xfId="0" applyNumberFormat="1" applyFont="1" applyBorder="1" applyAlignment="1">
      <alignment horizontal="right" vertical="center"/>
    </xf>
    <xf numFmtId="0" fontId="4" fillId="0" borderId="0" xfId="0" applyFont="1" applyAlignment="1">
      <alignment horizontal="center"/>
    </xf>
    <xf numFmtId="0" fontId="5" fillId="0" borderId="0" xfId="0" applyFont="1"/>
    <xf numFmtId="38" fontId="4" fillId="0" borderId="0" xfId="0" applyNumberFormat="1" applyFont="1" applyAlignment="1">
      <alignment horizontal="center"/>
    </xf>
    <xf numFmtId="176" fontId="6" fillId="0" borderId="0" xfId="0" applyNumberFormat="1" applyFont="1" applyAlignment="1">
      <alignment horizontal="right" vertical="center"/>
    </xf>
    <xf numFmtId="0" fontId="6" fillId="0" borderId="0" xfId="0" applyFont="1" applyAlignment="1">
      <alignment vertical="center"/>
    </xf>
    <xf numFmtId="178" fontId="6" fillId="0" borderId="0" xfId="0" applyNumberFormat="1" applyFont="1" applyAlignment="1">
      <alignment horizontal="right" vertical="center"/>
    </xf>
    <xf numFmtId="0" fontId="6" fillId="0" borderId="0" xfId="0" applyFont="1" applyAlignment="1">
      <alignment horizontal="center" vertical="center"/>
    </xf>
    <xf numFmtId="38" fontId="6" fillId="0" borderId="0" xfId="0" applyNumberFormat="1" applyFont="1" applyAlignment="1">
      <alignment horizontal="right" vertical="center"/>
    </xf>
    <xf numFmtId="38" fontId="6" fillId="0" borderId="0" xfId="0" applyNumberFormat="1" applyFont="1" applyAlignment="1">
      <alignment horizontal="right" vertical="center" shrinkToFit="1"/>
    </xf>
    <xf numFmtId="0" fontId="6" fillId="0" borderId="0" xfId="0" applyFont="1"/>
    <xf numFmtId="0" fontId="6" fillId="0" borderId="6" xfId="0" applyFont="1" applyBorder="1" applyAlignment="1">
      <alignment vertical="center"/>
    </xf>
    <xf numFmtId="0" fontId="6" fillId="0" borderId="7" xfId="0" applyFont="1" applyBorder="1" applyAlignment="1">
      <alignment vertical="center"/>
    </xf>
    <xf numFmtId="178" fontId="6" fillId="0" borderId="6" xfId="0" applyNumberFormat="1" applyFont="1" applyBorder="1" applyAlignment="1">
      <alignment horizontal="right" vertical="center"/>
    </xf>
    <xf numFmtId="0" fontId="6" fillId="0" borderId="6" xfId="0" applyFont="1" applyBorder="1" applyAlignment="1">
      <alignment horizontal="center" vertical="center"/>
    </xf>
    <xf numFmtId="38" fontId="6" fillId="0" borderId="8" xfId="0" applyNumberFormat="1" applyFont="1" applyBorder="1" applyAlignment="1">
      <alignment horizontal="right" vertical="center"/>
    </xf>
    <xf numFmtId="0" fontId="6" fillId="0" borderId="14" xfId="0" applyFont="1" applyBorder="1" applyAlignment="1">
      <alignment vertical="center"/>
    </xf>
    <xf numFmtId="38" fontId="6" fillId="0" borderId="6" xfId="0" applyNumberFormat="1" applyFont="1" applyBorder="1" applyAlignment="1">
      <alignment horizontal="right" vertical="center"/>
    </xf>
    <xf numFmtId="0" fontId="6" fillId="0" borderId="1" xfId="0" applyFont="1" applyBorder="1" applyAlignment="1">
      <alignment vertical="center"/>
    </xf>
    <xf numFmtId="178" fontId="6" fillId="0" borderId="1" xfId="0" applyNumberFormat="1" applyFont="1" applyBorder="1" applyAlignment="1">
      <alignment horizontal="right" vertical="center"/>
    </xf>
    <xf numFmtId="0" fontId="11" fillId="0" borderId="0" xfId="1" applyFont="1" applyAlignment="1">
      <alignment vertical="center"/>
    </xf>
    <xf numFmtId="178" fontId="6" fillId="0" borderId="0" xfId="1" applyNumberFormat="1" applyFont="1" applyAlignment="1">
      <alignment horizontal="center" vertical="center"/>
    </xf>
    <xf numFmtId="0" fontId="11" fillId="0" borderId="0" xfId="1" applyFont="1" applyAlignment="1">
      <alignment horizontal="center" vertical="center"/>
    </xf>
    <xf numFmtId="38" fontId="11" fillId="0" borderId="0" xfId="1" applyNumberFormat="1" applyFont="1" applyAlignment="1">
      <alignment horizontal="right" vertical="center"/>
    </xf>
    <xf numFmtId="38" fontId="11" fillId="0" borderId="0" xfId="1" applyNumberFormat="1" applyFont="1" applyAlignment="1">
      <alignment horizontal="right" vertical="center" shrinkToFit="1"/>
    </xf>
    <xf numFmtId="0" fontId="6" fillId="0" borderId="4" xfId="0" applyFont="1" applyBorder="1" applyAlignment="1">
      <alignment vertical="center" wrapText="1" shrinkToFit="1"/>
    </xf>
    <xf numFmtId="0" fontId="6" fillId="0" borderId="6" xfId="0" applyFont="1" applyBorder="1" applyAlignment="1">
      <alignment horizontal="left" vertical="center" shrinkToFit="1"/>
    </xf>
    <xf numFmtId="0" fontId="6" fillId="0" borderId="9" xfId="0" applyFont="1" applyBorder="1" applyAlignment="1">
      <alignment horizontal="center" vertical="center" shrinkToFit="1"/>
    </xf>
    <xf numFmtId="0" fontId="6" fillId="0" borderId="25" xfId="0" applyFont="1" applyBorder="1" applyAlignment="1">
      <alignment horizontal="left" vertical="center" shrinkToFit="1"/>
    </xf>
    <xf numFmtId="40" fontId="6" fillId="0" borderId="9" xfId="0" applyNumberFormat="1" applyFont="1" applyBorder="1" applyAlignment="1">
      <alignment horizontal="right" vertical="center" shrinkToFit="1"/>
    </xf>
    <xf numFmtId="179" fontId="6" fillId="0" borderId="13" xfId="0" applyNumberFormat="1" applyFont="1" applyBorder="1" applyAlignment="1">
      <alignment horizontal="right" vertical="center" shrinkToFit="1"/>
    </xf>
    <xf numFmtId="0" fontId="15" fillId="0" borderId="0" xfId="1" applyFont="1" applyAlignment="1">
      <alignment horizontal="left"/>
    </xf>
    <xf numFmtId="0" fontId="15" fillId="0" borderId="0" xfId="1" applyFont="1" applyAlignment="1">
      <alignment horizontal="center"/>
    </xf>
    <xf numFmtId="49" fontId="15" fillId="0" borderId="0" xfId="1" applyNumberFormat="1" applyFont="1" applyAlignment="1">
      <alignment horizontal="left"/>
    </xf>
    <xf numFmtId="0" fontId="15" fillId="0" borderId="15" xfId="1" applyFont="1" applyBorder="1" applyAlignment="1">
      <alignment horizontal="left"/>
    </xf>
    <xf numFmtId="0" fontId="15" fillId="0" borderId="16" xfId="1" applyFont="1" applyBorder="1" applyAlignment="1">
      <alignment horizontal="left"/>
    </xf>
    <xf numFmtId="49" fontId="15" fillId="0" borderId="16" xfId="1" applyNumberFormat="1" applyFont="1" applyBorder="1" applyAlignment="1">
      <alignment horizontal="left"/>
    </xf>
    <xf numFmtId="0" fontId="15" fillId="0" borderId="18" xfId="1" applyFont="1" applyBorder="1" applyAlignment="1">
      <alignment horizontal="left"/>
    </xf>
    <xf numFmtId="0" fontId="15" fillId="0" borderId="19" xfId="1" applyFont="1" applyBorder="1" applyAlignment="1">
      <alignment horizontal="left"/>
    </xf>
    <xf numFmtId="0" fontId="15" fillId="0" borderId="0" xfId="1" applyFont="1" applyAlignment="1">
      <alignment horizontal="center" vertical="center"/>
    </xf>
    <xf numFmtId="0" fontId="15" fillId="0" borderId="18" xfId="1" applyFont="1" applyBorder="1" applyAlignment="1">
      <alignment horizontal="center" vertical="center"/>
    </xf>
    <xf numFmtId="0" fontId="15" fillId="0" borderId="0" xfId="1" applyFont="1" applyAlignment="1">
      <alignment vertical="center"/>
    </xf>
    <xf numFmtId="0" fontId="15" fillId="0" borderId="18" xfId="1" applyFont="1" applyBorder="1" applyAlignment="1">
      <alignment vertical="center"/>
    </xf>
    <xf numFmtId="0" fontId="15" fillId="0" borderId="19" xfId="1" applyFont="1" applyBorder="1" applyAlignment="1">
      <alignment horizontal="center"/>
    </xf>
    <xf numFmtId="181" fontId="15" fillId="0" borderId="19" xfId="1" applyNumberFormat="1" applyFont="1" applyBorder="1" applyAlignment="1">
      <alignment horizontal="center" vertical="center"/>
    </xf>
    <xf numFmtId="0" fontId="5" fillId="0" borderId="1" xfId="1" applyFont="1" applyBorder="1" applyAlignment="1">
      <alignment vertical="center"/>
    </xf>
    <xf numFmtId="0" fontId="15" fillId="0" borderId="19" xfId="1" applyFont="1" applyBorder="1"/>
    <xf numFmtId="0" fontId="19" fillId="0" borderId="19" xfId="1" applyFont="1" applyBorder="1" applyAlignment="1">
      <alignment shrinkToFit="1"/>
    </xf>
    <xf numFmtId="0" fontId="10" fillId="0" borderId="19" xfId="1" applyFont="1" applyBorder="1" applyAlignment="1">
      <alignment horizontal="center"/>
    </xf>
    <xf numFmtId="0" fontId="15" fillId="0" borderId="24" xfId="1" applyFont="1" applyBorder="1" applyAlignment="1">
      <alignment horizontal="left"/>
    </xf>
    <xf numFmtId="0" fontId="15" fillId="0" borderId="24" xfId="1" applyFont="1" applyBorder="1" applyAlignment="1">
      <alignment vertical="center"/>
    </xf>
    <xf numFmtId="0" fontId="15" fillId="0" borderId="24" xfId="1" applyFont="1" applyBorder="1"/>
    <xf numFmtId="0" fontId="15" fillId="0" borderId="23" xfId="1" applyFont="1" applyBorder="1"/>
    <xf numFmtId="0" fontId="15" fillId="0" borderId="0" xfId="1" applyFont="1" applyAlignment="1">
      <alignment horizontal="left" vertical="center"/>
    </xf>
    <xf numFmtId="0" fontId="15" fillId="0" borderId="0" xfId="1" applyFont="1" applyAlignment="1">
      <alignment horizontal="right" vertical="center"/>
    </xf>
    <xf numFmtId="0" fontId="17" fillId="0" borderId="0" xfId="1" applyFont="1" applyAlignment="1">
      <alignment horizontal="left" vertical="center"/>
    </xf>
    <xf numFmtId="0" fontId="3" fillId="0" borderId="0" xfId="1" applyFont="1" applyAlignment="1">
      <alignment horizontal="left" vertical="center"/>
    </xf>
    <xf numFmtId="181" fontId="15" fillId="0" borderId="0" xfId="1" applyNumberFormat="1" applyFont="1" applyAlignment="1">
      <alignment horizontal="center" vertical="center"/>
    </xf>
    <xf numFmtId="0" fontId="5" fillId="0" borderId="0" xfId="1" applyFont="1" applyAlignment="1">
      <alignment vertical="center"/>
    </xf>
    <xf numFmtId="0" fontId="15" fillId="0" borderId="0" xfId="1" applyFont="1"/>
    <xf numFmtId="0" fontId="18" fillId="0" borderId="0" xfId="1" applyFont="1" applyAlignment="1">
      <alignment vertical="center"/>
    </xf>
    <xf numFmtId="0" fontId="3" fillId="0" borderId="0" xfId="1" applyFont="1" applyAlignment="1">
      <alignment vertical="center"/>
    </xf>
    <xf numFmtId="0" fontId="19" fillId="0" borderId="0" xfId="1" applyFont="1" applyAlignment="1">
      <alignment shrinkToFit="1"/>
    </xf>
    <xf numFmtId="0" fontId="7" fillId="0" borderId="0" xfId="1" applyFont="1" applyAlignment="1">
      <alignment vertical="center"/>
    </xf>
    <xf numFmtId="182" fontId="23" fillId="0" borderId="0" xfId="1" applyNumberFormat="1" applyFont="1" applyAlignment="1">
      <alignment vertical="center" shrinkToFit="1"/>
    </xf>
    <xf numFmtId="0" fontId="2" fillId="0" borderId="0" xfId="1" applyAlignment="1">
      <alignment vertical="center" shrinkToFit="1"/>
    </xf>
    <xf numFmtId="42" fontId="15" fillId="0" borderId="0" xfId="1" applyNumberFormat="1" applyFont="1" applyAlignment="1">
      <alignment vertical="center"/>
    </xf>
    <xf numFmtId="0" fontId="10" fillId="0" borderId="0" xfId="1" applyFont="1" applyAlignment="1">
      <alignment horizontal="left"/>
    </xf>
    <xf numFmtId="14" fontId="10" fillId="0" borderId="0" xfId="1" applyNumberFormat="1" applyFont="1" applyAlignment="1">
      <alignment vertical="center"/>
    </xf>
    <xf numFmtId="0" fontId="10" fillId="0" borderId="0" xfId="1" applyFont="1" applyAlignment="1">
      <alignment vertical="center"/>
    </xf>
    <xf numFmtId="0" fontId="10" fillId="0" borderId="0" xfId="1" applyFont="1" applyAlignment="1">
      <alignment horizontal="right" vertical="center"/>
    </xf>
    <xf numFmtId="0" fontId="10" fillId="0" borderId="0" xfId="1" applyFont="1" applyAlignment="1">
      <alignment horizontal="left" vertical="center"/>
    </xf>
    <xf numFmtId="0" fontId="24" fillId="0" borderId="0" xfId="1" applyFont="1"/>
    <xf numFmtId="0" fontId="18" fillId="0" borderId="0" xfId="1" applyFont="1" applyAlignment="1">
      <alignment horizontal="left" vertical="center"/>
    </xf>
    <xf numFmtId="180" fontId="15" fillId="0" borderId="0" xfId="1" applyNumberFormat="1" applyFont="1" applyAlignment="1">
      <alignment vertical="center"/>
    </xf>
    <xf numFmtId="0" fontId="25" fillId="0" borderId="16" xfId="1" applyFont="1" applyBorder="1" applyAlignment="1">
      <alignment horizontal="left"/>
    </xf>
    <xf numFmtId="0" fontId="25" fillId="0" borderId="16" xfId="1" applyFont="1" applyBorder="1" applyAlignment="1">
      <alignment horizontal="center"/>
    </xf>
    <xf numFmtId="0" fontId="25" fillId="0" borderId="0" xfId="1" applyFont="1" applyAlignment="1">
      <alignment horizontal="left"/>
    </xf>
    <xf numFmtId="0" fontId="25" fillId="0" borderId="0" xfId="1" applyFont="1" applyAlignment="1">
      <alignment horizontal="center"/>
    </xf>
    <xf numFmtId="0" fontId="25" fillId="0" borderId="1" xfId="1" applyFont="1" applyBorder="1" applyAlignment="1">
      <alignment horizontal="left"/>
    </xf>
    <xf numFmtId="0" fontId="6" fillId="0" borderId="26" xfId="1" applyFont="1" applyBorder="1" applyAlignment="1">
      <alignment horizontal="center" vertical="center"/>
    </xf>
    <xf numFmtId="0" fontId="6" fillId="0" borderId="28" xfId="1" applyFont="1" applyBorder="1" applyAlignment="1">
      <alignment horizontal="center" vertical="center"/>
    </xf>
    <xf numFmtId="0" fontId="6" fillId="0" borderId="39" xfId="0" applyFont="1" applyBorder="1" applyAlignment="1">
      <alignment horizontal="center" vertical="center"/>
    </xf>
    <xf numFmtId="0" fontId="6" fillId="0" borderId="29" xfId="0" applyFont="1" applyBorder="1" applyAlignment="1">
      <alignment vertical="center" wrapText="1" shrinkToFit="1"/>
    </xf>
    <xf numFmtId="0" fontId="6" fillId="0" borderId="40" xfId="0" applyFont="1" applyBorder="1" applyAlignment="1">
      <alignment vertical="center"/>
    </xf>
    <xf numFmtId="0" fontId="11" fillId="0" borderId="27" xfId="0" applyFont="1" applyBorder="1" applyAlignment="1">
      <alignment horizontal="left" vertical="center" wrapText="1" shrinkToFit="1"/>
    </xf>
    <xf numFmtId="0" fontId="6" fillId="0" borderId="28" xfId="0" applyFont="1" applyBorder="1" applyAlignment="1">
      <alignment horizontal="center" vertical="center"/>
    </xf>
    <xf numFmtId="0" fontId="11" fillId="0" borderId="29" xfId="0" applyFont="1" applyBorder="1" applyAlignment="1">
      <alignment horizontal="left" vertical="center"/>
    </xf>
    <xf numFmtId="0" fontId="6" fillId="4" borderId="35" xfId="0" applyFont="1" applyFill="1" applyBorder="1" applyAlignment="1">
      <alignment vertical="center"/>
    </xf>
    <xf numFmtId="0" fontId="11" fillId="4" borderId="36" xfId="0" applyFont="1" applyFill="1" applyBorder="1" applyAlignment="1">
      <alignment vertical="center"/>
    </xf>
    <xf numFmtId="38" fontId="11" fillId="4" borderId="37" xfId="0" applyNumberFormat="1" applyFont="1" applyFill="1" applyBorder="1" applyAlignment="1">
      <alignment horizontal="right" vertical="center" shrinkToFit="1"/>
    </xf>
    <xf numFmtId="0" fontId="6" fillId="4" borderId="38" xfId="0" applyFont="1" applyFill="1" applyBorder="1"/>
    <xf numFmtId="40" fontId="6" fillId="0" borderId="4" xfId="1" applyNumberFormat="1" applyFont="1" applyBorder="1" applyAlignment="1">
      <alignment horizontal="right" vertical="center" shrinkToFit="1"/>
    </xf>
    <xf numFmtId="40" fontId="6" fillId="0" borderId="4" xfId="1" applyNumberFormat="1" applyFont="1" applyBorder="1" applyAlignment="1">
      <alignment horizontal="center" vertical="center" shrinkToFit="1"/>
    </xf>
    <xf numFmtId="40" fontId="6" fillId="0" borderId="6" xfId="1" applyNumberFormat="1" applyFont="1" applyBorder="1" applyAlignment="1">
      <alignment horizontal="right" vertical="center" shrinkToFit="1"/>
    </xf>
    <xf numFmtId="40" fontId="6" fillId="0" borderId="6" xfId="1" applyNumberFormat="1" applyFont="1" applyBorder="1" applyAlignment="1">
      <alignment horizontal="center" vertical="center" shrinkToFit="1"/>
    </xf>
    <xf numFmtId="0" fontId="26" fillId="0" borderId="0" xfId="1" applyFont="1"/>
    <xf numFmtId="0" fontId="14" fillId="0" borderId="4" xfId="0" applyFont="1" applyBorder="1" applyAlignment="1">
      <alignment horizontal="left" vertical="center" shrinkToFit="1"/>
    </xf>
    <xf numFmtId="0" fontId="14" fillId="0" borderId="4" xfId="0" applyFont="1" applyBorder="1" applyAlignment="1">
      <alignment horizontal="right" vertical="center"/>
    </xf>
    <xf numFmtId="0" fontId="14" fillId="0" borderId="4" xfId="0" applyFont="1" applyBorder="1" applyAlignment="1">
      <alignment horizontal="center" vertical="center"/>
    </xf>
    <xf numFmtId="0" fontId="14" fillId="0" borderId="6" xfId="0" applyFont="1" applyBorder="1" applyAlignment="1">
      <alignment horizontal="left" vertical="center" shrinkToFit="1"/>
    </xf>
    <xf numFmtId="0" fontId="6" fillId="0" borderId="5" xfId="1" applyFont="1" applyBorder="1" applyAlignment="1">
      <alignment vertical="center" shrinkToFit="1"/>
    </xf>
    <xf numFmtId="0" fontId="6" fillId="0" borderId="6" xfId="1" applyFont="1" applyBorder="1" applyAlignment="1">
      <alignment vertical="center" shrinkToFit="1"/>
    </xf>
    <xf numFmtId="38" fontId="26" fillId="0" borderId="0" xfId="1" applyNumberFormat="1" applyFont="1"/>
    <xf numFmtId="0" fontId="6" fillId="0" borderId="6" xfId="0" applyFont="1" applyBorder="1" applyAlignment="1">
      <alignment vertical="center" shrinkToFit="1"/>
    </xf>
    <xf numFmtId="0" fontId="6" fillId="0" borderId="4" xfId="0" applyFont="1" applyBorder="1" applyAlignment="1">
      <alignment vertical="center" shrinkToFit="1"/>
    </xf>
    <xf numFmtId="0" fontId="27" fillId="0" borderId="0" xfId="1" applyFont="1" applyAlignment="1">
      <alignment vertical="center"/>
    </xf>
    <xf numFmtId="0" fontId="28" fillId="0" borderId="0" xfId="1" applyFont="1" applyAlignment="1">
      <alignment vertical="center"/>
    </xf>
    <xf numFmtId="0" fontId="14" fillId="0" borderId="6" xfId="0" applyFont="1" applyBorder="1" applyAlignment="1">
      <alignment vertical="center" shrinkToFit="1"/>
    </xf>
    <xf numFmtId="176" fontId="6" fillId="0" borderId="16" xfId="1" applyNumberFormat="1" applyFont="1" applyBorder="1" applyAlignment="1">
      <alignment vertical="center"/>
    </xf>
    <xf numFmtId="176" fontId="6" fillId="0" borderId="17" xfId="1" applyNumberFormat="1" applyFont="1" applyBorder="1" applyAlignment="1">
      <alignment vertical="center"/>
    </xf>
    <xf numFmtId="0" fontId="6" fillId="3" borderId="21" xfId="1" applyFont="1" applyFill="1" applyBorder="1" applyAlignment="1">
      <alignment horizontal="center" vertical="center"/>
    </xf>
    <xf numFmtId="38" fontId="6" fillId="3" borderId="42" xfId="1" applyNumberFormat="1" applyFont="1" applyFill="1" applyBorder="1" applyAlignment="1">
      <alignment horizontal="center" vertical="center"/>
    </xf>
    <xf numFmtId="0" fontId="6" fillId="3" borderId="43" xfId="1" applyFont="1" applyFill="1" applyBorder="1" applyAlignment="1">
      <alignment horizontal="center" vertical="center"/>
    </xf>
    <xf numFmtId="0" fontId="6" fillId="3" borderId="42" xfId="1" applyFont="1" applyFill="1" applyBorder="1" applyAlignment="1">
      <alignment horizontal="center" vertical="center"/>
    </xf>
    <xf numFmtId="40" fontId="6" fillId="0" borderId="5" xfId="0" applyNumberFormat="1" applyFont="1" applyBorder="1" applyAlignment="1">
      <alignment horizontal="right" vertical="center" shrinkToFit="1"/>
    </xf>
    <xf numFmtId="0" fontId="6" fillId="0" borderId="5" xfId="0" applyFont="1" applyBorder="1" applyAlignment="1">
      <alignment horizontal="center" vertical="center" shrinkToFit="1"/>
    </xf>
    <xf numFmtId="0" fontId="6" fillId="0" borderId="32" xfId="0" applyFont="1" applyBorder="1" applyAlignment="1">
      <alignment vertical="center"/>
    </xf>
    <xf numFmtId="0" fontId="6" fillId="0" borderId="10" xfId="0" applyFont="1" applyBorder="1" applyAlignment="1">
      <alignment vertical="center"/>
    </xf>
    <xf numFmtId="0" fontId="6" fillId="0" borderId="11" xfId="0" applyFont="1" applyBorder="1" applyAlignment="1">
      <alignment vertical="center"/>
    </xf>
    <xf numFmtId="178" fontId="6" fillId="0" borderId="12" xfId="0" applyNumberFormat="1" applyFont="1" applyBorder="1" applyAlignment="1">
      <alignment horizontal="right" vertical="center"/>
    </xf>
    <xf numFmtId="0" fontId="6" fillId="0" borderId="10" xfId="0" applyFont="1" applyBorder="1" applyAlignment="1">
      <alignment horizontal="center" vertical="center"/>
    </xf>
    <xf numFmtId="38" fontId="6" fillId="0" borderId="47" xfId="0" applyNumberFormat="1" applyFont="1" applyBorder="1" applyAlignment="1">
      <alignment horizontal="right" vertical="center"/>
    </xf>
    <xf numFmtId="0" fontId="11" fillId="0" borderId="33" xfId="0" applyFont="1" applyBorder="1" applyAlignment="1">
      <alignment horizontal="left" vertical="center"/>
    </xf>
    <xf numFmtId="0" fontId="6" fillId="0" borderId="26" xfId="0" applyFont="1" applyBorder="1" applyAlignment="1">
      <alignment horizontal="center" vertical="center"/>
    </xf>
    <xf numFmtId="0" fontId="6" fillId="3" borderId="21" xfId="0" applyFont="1" applyFill="1" applyBorder="1" applyAlignment="1">
      <alignment horizontal="center" vertical="center"/>
    </xf>
    <xf numFmtId="0" fontId="6" fillId="3" borderId="43" xfId="0" applyFont="1" applyFill="1" applyBorder="1" applyAlignment="1">
      <alignment horizontal="center" vertical="center"/>
    </xf>
    <xf numFmtId="0" fontId="6" fillId="3" borderId="48" xfId="0" applyFont="1" applyFill="1" applyBorder="1" applyAlignment="1">
      <alignment horizontal="center" vertical="center"/>
    </xf>
    <xf numFmtId="38" fontId="6" fillId="3" borderId="48" xfId="0" applyNumberFormat="1" applyFont="1" applyFill="1" applyBorder="1" applyAlignment="1">
      <alignment horizontal="center" vertical="center"/>
    </xf>
    <xf numFmtId="0" fontId="10" fillId="0" borderId="18" xfId="1" applyFont="1" applyBorder="1" applyAlignment="1">
      <alignment horizontal="left" vertical="center" indent="1"/>
    </xf>
    <xf numFmtId="0" fontId="10" fillId="0" borderId="18" xfId="1" applyFont="1" applyBorder="1" applyAlignment="1">
      <alignment horizontal="left" indent="1"/>
    </xf>
    <xf numFmtId="0" fontId="15" fillId="0" borderId="22" xfId="1" applyFont="1" applyBorder="1" applyAlignment="1">
      <alignment horizontal="left" vertical="center" indent="1"/>
    </xf>
    <xf numFmtId="0" fontId="10" fillId="0" borderId="0" xfId="1" applyFont="1" applyAlignment="1">
      <alignment horizontal="left" vertical="center" indent="1"/>
    </xf>
    <xf numFmtId="176" fontId="15" fillId="0" borderId="0" xfId="1" applyNumberFormat="1" applyFont="1" applyAlignment="1">
      <alignment vertical="center"/>
    </xf>
    <xf numFmtId="176" fontId="15" fillId="0" borderId="19" xfId="1" applyNumberFormat="1" applyFont="1" applyBorder="1" applyAlignment="1">
      <alignment vertical="center"/>
    </xf>
    <xf numFmtId="0" fontId="10" fillId="0" borderId="18" xfId="1" applyFont="1" applyBorder="1" applyAlignment="1">
      <alignment horizontal="left" vertical="center"/>
    </xf>
    <xf numFmtId="0" fontId="10" fillId="0" borderId="18" xfId="1" applyFont="1" applyBorder="1" applyAlignment="1">
      <alignment horizontal="left"/>
    </xf>
    <xf numFmtId="0" fontId="10" fillId="0" borderId="15" xfId="1" applyFont="1" applyBorder="1" applyAlignment="1">
      <alignment horizontal="left" vertical="center"/>
    </xf>
    <xf numFmtId="0" fontId="10" fillId="0" borderId="16" xfId="1" applyFont="1" applyBorder="1" applyAlignment="1">
      <alignment vertical="center"/>
    </xf>
    <xf numFmtId="0" fontId="10" fillId="0" borderId="17" xfId="1" applyFont="1" applyBorder="1" applyAlignment="1">
      <alignment vertical="center"/>
    </xf>
    <xf numFmtId="0" fontId="10" fillId="0" borderId="19" xfId="1" applyFont="1" applyBorder="1" applyAlignment="1">
      <alignment vertical="center"/>
    </xf>
    <xf numFmtId="0" fontId="10" fillId="0" borderId="22" xfId="1" applyFont="1" applyBorder="1" applyAlignment="1">
      <alignment horizontal="left" vertical="center"/>
    </xf>
    <xf numFmtId="0" fontId="10" fillId="0" borderId="24" xfId="1" applyFont="1" applyBorder="1" applyAlignment="1">
      <alignment vertical="center"/>
    </xf>
    <xf numFmtId="0" fontId="10" fillId="0" borderId="23" xfId="1" applyFont="1" applyBorder="1" applyAlignment="1">
      <alignment vertical="center"/>
    </xf>
    <xf numFmtId="0" fontId="10" fillId="0" borderId="49" xfId="1" applyFont="1" applyBorder="1" applyAlignment="1">
      <alignment horizontal="left" vertical="center"/>
    </xf>
    <xf numFmtId="0" fontId="10" fillId="0" borderId="49" xfId="1" applyFont="1" applyBorder="1" applyAlignment="1">
      <alignment vertical="center"/>
    </xf>
    <xf numFmtId="0" fontId="10" fillId="0" borderId="8" xfId="1" applyFont="1" applyBorder="1" applyAlignment="1">
      <alignment horizontal="left"/>
    </xf>
    <xf numFmtId="9" fontId="6" fillId="0" borderId="30" xfId="0" applyNumberFormat="1" applyFont="1" applyBorder="1" applyAlignment="1">
      <alignment horizontal="left" vertical="center"/>
    </xf>
    <xf numFmtId="0" fontId="18" fillId="0" borderId="0" xfId="0" applyFont="1" applyAlignment="1">
      <alignment horizontal="left" vertical="center"/>
    </xf>
    <xf numFmtId="0" fontId="29" fillId="0" borderId="0" xfId="1" applyFont="1" applyAlignment="1">
      <alignment horizontal="left"/>
    </xf>
    <xf numFmtId="178" fontId="6" fillId="0" borderId="29" xfId="1" applyNumberFormat="1" applyFont="1" applyBorder="1" applyAlignment="1">
      <alignment vertical="center" wrapText="1" shrinkToFit="1"/>
    </xf>
    <xf numFmtId="0" fontId="15" fillId="0" borderId="17" xfId="1" applyFont="1" applyBorder="1" applyAlignment="1">
      <alignment horizontal="left"/>
    </xf>
    <xf numFmtId="0" fontId="15" fillId="0" borderId="22" xfId="1" applyFont="1" applyBorder="1" applyAlignment="1">
      <alignment horizontal="left"/>
    </xf>
    <xf numFmtId="0" fontId="15" fillId="0" borderId="23" xfId="1" applyFont="1" applyBorder="1" applyAlignment="1">
      <alignment horizontal="left"/>
    </xf>
    <xf numFmtId="9" fontId="6" fillId="0" borderId="29" xfId="0" applyNumberFormat="1" applyFont="1" applyBorder="1" applyAlignment="1">
      <alignment horizontal="left" vertical="center"/>
    </xf>
    <xf numFmtId="0" fontId="25" fillId="0" borderId="27" xfId="0" applyFont="1" applyBorder="1" applyAlignment="1">
      <alignment horizontal="left" vertical="center" wrapText="1" shrinkToFit="1"/>
    </xf>
    <xf numFmtId="0" fontId="14" fillId="0" borderId="6" xfId="0" applyFont="1" applyBorder="1" applyAlignment="1">
      <alignment vertical="center" wrapText="1" shrinkToFit="1"/>
    </xf>
    <xf numFmtId="9" fontId="6" fillId="0" borderId="29" xfId="0" applyNumberFormat="1" applyFont="1" applyBorder="1" applyAlignment="1">
      <alignment horizontal="left" vertical="center" wrapText="1"/>
    </xf>
    <xf numFmtId="0" fontId="31" fillId="0" borderId="0" xfId="1" applyFont="1" applyAlignment="1">
      <alignment vertical="center"/>
    </xf>
    <xf numFmtId="0" fontId="14" fillId="0" borderId="6" xfId="0" applyFont="1" applyBorder="1" applyAlignment="1">
      <alignment horizontal="center" vertical="center"/>
    </xf>
    <xf numFmtId="0" fontId="32" fillId="0" borderId="0" xfId="1" applyFont="1" applyAlignment="1">
      <alignment vertical="center"/>
    </xf>
    <xf numFmtId="0" fontId="30" fillId="0" borderId="0" xfId="1" applyFont="1" applyAlignment="1">
      <alignment vertical="center"/>
    </xf>
    <xf numFmtId="0" fontId="31" fillId="0" borderId="0" xfId="1" applyFont="1" applyAlignment="1">
      <alignment horizontal="left"/>
    </xf>
    <xf numFmtId="0" fontId="32" fillId="0" borderId="0" xfId="1" applyFont="1" applyAlignment="1">
      <alignment horizontal="left"/>
    </xf>
    <xf numFmtId="0" fontId="6" fillId="0" borderId="25" xfId="0" applyFont="1" applyBorder="1" applyAlignment="1">
      <alignment horizontal="left" vertical="center" wrapText="1" shrinkToFit="1"/>
    </xf>
    <xf numFmtId="183" fontId="14" fillId="0" borderId="6" xfId="0" applyNumberFormat="1" applyFont="1" applyBorder="1" applyAlignment="1">
      <alignment horizontal="right" vertical="center"/>
    </xf>
    <xf numFmtId="183" fontId="6" fillId="0" borderId="6" xfId="0" applyNumberFormat="1" applyFont="1" applyBorder="1" applyAlignment="1">
      <alignment horizontal="right" vertical="center" shrinkToFit="1"/>
    </xf>
    <xf numFmtId="3" fontId="14" fillId="0" borderId="6" xfId="0" applyNumberFormat="1" applyFont="1" applyBorder="1" applyAlignment="1">
      <alignment horizontal="right" vertical="center"/>
    </xf>
    <xf numFmtId="3" fontId="6" fillId="0" borderId="6" xfId="0" applyNumberFormat="1" applyFont="1" applyBorder="1" applyAlignment="1">
      <alignment horizontal="right" vertical="center" shrinkToFit="1"/>
    </xf>
    <xf numFmtId="3" fontId="6" fillId="0" borderId="12" xfId="0" applyNumberFormat="1" applyFont="1" applyBorder="1" applyAlignment="1">
      <alignment horizontal="right" vertical="center" shrinkToFit="1"/>
    </xf>
    <xf numFmtId="3" fontId="13" fillId="0" borderId="6" xfId="0" applyNumberFormat="1" applyFont="1" applyBorder="1" applyAlignment="1">
      <alignment horizontal="right" vertical="center"/>
    </xf>
    <xf numFmtId="0" fontId="6" fillId="0" borderId="46" xfId="1" applyFont="1" applyBorder="1" applyAlignment="1">
      <alignment horizontal="center" vertical="center"/>
    </xf>
    <xf numFmtId="0" fontId="14" fillId="0" borderId="5" xfId="0" applyFont="1" applyBorder="1" applyAlignment="1">
      <alignment horizontal="left" vertical="center" shrinkToFit="1"/>
    </xf>
    <xf numFmtId="0" fontId="14" fillId="0" borderId="5" xfId="0" applyFont="1" applyBorder="1" applyAlignment="1">
      <alignment horizontal="center" vertical="center"/>
    </xf>
    <xf numFmtId="38" fontId="14" fillId="0" borderId="5" xfId="0" applyNumberFormat="1" applyFont="1" applyBorder="1" applyAlignment="1">
      <alignment horizontal="right" vertical="center"/>
    </xf>
    <xf numFmtId="0" fontId="6" fillId="0" borderId="0" xfId="1" applyFont="1" applyAlignment="1">
      <alignment horizontal="left" wrapText="1"/>
    </xf>
    <xf numFmtId="0" fontId="14" fillId="0" borderId="6" xfId="0" applyFont="1" applyBorder="1" applyAlignment="1">
      <alignment horizontal="right" vertical="center"/>
    </xf>
    <xf numFmtId="0" fontId="6" fillId="0" borderId="4" xfId="1" applyFont="1" applyBorder="1" applyAlignment="1">
      <alignment vertical="center"/>
    </xf>
    <xf numFmtId="0" fontId="6" fillId="0" borderId="4" xfId="1" applyFont="1" applyBorder="1" applyAlignment="1">
      <alignment horizontal="center" vertical="center"/>
    </xf>
    <xf numFmtId="38" fontId="6" fillId="0" borderId="4" xfId="1" applyNumberFormat="1" applyFont="1" applyBorder="1" applyAlignment="1">
      <alignment horizontal="right" vertical="center"/>
    </xf>
    <xf numFmtId="178" fontId="25" fillId="0" borderId="29" xfId="1" applyNumberFormat="1" applyFont="1" applyBorder="1" applyAlignment="1">
      <alignment vertical="center" wrapText="1" shrinkToFit="1"/>
    </xf>
    <xf numFmtId="178" fontId="25" fillId="0" borderId="27" xfId="1" applyNumberFormat="1" applyFont="1" applyBorder="1" applyAlignment="1">
      <alignment vertical="center" wrapText="1" shrinkToFit="1"/>
    </xf>
    <xf numFmtId="178" fontId="33" fillId="0" borderId="29" xfId="1" applyNumberFormat="1" applyFont="1" applyBorder="1" applyAlignment="1">
      <alignment vertical="center" wrapText="1" shrinkToFit="1"/>
    </xf>
    <xf numFmtId="0" fontId="6" fillId="0" borderId="40" xfId="1" applyFont="1" applyBorder="1" applyAlignment="1">
      <alignment horizontal="center" vertical="center"/>
    </xf>
    <xf numFmtId="38" fontId="6" fillId="0" borderId="8" xfId="0" applyNumberFormat="1" applyFont="1" applyBorder="1" applyAlignment="1">
      <alignment horizontal="right" vertical="center" shrinkToFit="1"/>
    </xf>
    <xf numFmtId="0" fontId="33" fillId="0" borderId="29" xfId="1" applyFont="1" applyBorder="1" applyAlignment="1">
      <alignment horizontal="left" vertical="center"/>
    </xf>
    <xf numFmtId="0" fontId="6" fillId="0" borderId="9" xfId="1" applyFont="1" applyBorder="1" applyAlignment="1">
      <alignment vertical="center" shrinkToFit="1"/>
    </xf>
    <xf numFmtId="0" fontId="6" fillId="0" borderId="31" xfId="1" applyFont="1" applyBorder="1" applyAlignment="1">
      <alignment horizontal="center" vertical="center"/>
    </xf>
    <xf numFmtId="40" fontId="6" fillId="0" borderId="0" xfId="1" applyNumberFormat="1" applyFont="1" applyAlignment="1">
      <alignment horizontal="center" vertical="center" shrinkToFit="1"/>
    </xf>
    <xf numFmtId="178" fontId="33" fillId="0" borderId="34" xfId="1" applyNumberFormat="1" applyFont="1" applyBorder="1" applyAlignment="1">
      <alignment horizontal="left" vertical="center" wrapText="1" shrinkToFit="1"/>
    </xf>
    <xf numFmtId="0" fontId="6" fillId="0" borderId="18" xfId="0" applyFont="1" applyBorder="1" applyAlignment="1">
      <alignment vertical="center"/>
    </xf>
    <xf numFmtId="0" fontId="6" fillId="0" borderId="5" xfId="0" applyFont="1" applyBorder="1" applyAlignment="1">
      <alignment vertical="center"/>
    </xf>
    <xf numFmtId="0" fontId="6" fillId="0" borderId="44" xfId="0" applyFont="1" applyBorder="1" applyAlignment="1">
      <alignment vertical="center"/>
    </xf>
    <xf numFmtId="178" fontId="6" fillId="0" borderId="5" xfId="0" applyNumberFormat="1" applyFont="1" applyBorder="1" applyAlignment="1">
      <alignment horizontal="right" vertical="center"/>
    </xf>
    <xf numFmtId="0" fontId="6" fillId="0" borderId="5" xfId="0" applyFont="1" applyBorder="1" applyAlignment="1">
      <alignment horizontal="center" vertical="center"/>
    </xf>
    <xf numFmtId="38" fontId="6" fillId="0" borderId="5" xfId="0" applyNumberFormat="1" applyFont="1" applyBorder="1" applyAlignment="1">
      <alignment horizontal="right" vertical="center"/>
    </xf>
    <xf numFmtId="3" fontId="6" fillId="0" borderId="5" xfId="0" applyNumberFormat="1" applyFont="1" applyBorder="1" applyAlignment="1">
      <alignment horizontal="right" vertical="center" shrinkToFit="1"/>
    </xf>
    <xf numFmtId="9" fontId="6" fillId="0" borderId="34" xfId="0" applyNumberFormat="1" applyFont="1" applyBorder="1" applyAlignment="1">
      <alignment horizontal="left" vertical="center"/>
    </xf>
    <xf numFmtId="0" fontId="6" fillId="0" borderId="8" xfId="0" applyFont="1" applyBorder="1" applyAlignment="1">
      <alignment horizontal="center" vertical="center"/>
    </xf>
    <xf numFmtId="38" fontId="6" fillId="0" borderId="25" xfId="0" applyNumberFormat="1" applyFont="1" applyBorder="1" applyAlignment="1">
      <alignment horizontal="right" vertical="center"/>
    </xf>
    <xf numFmtId="0" fontId="9" fillId="0" borderId="7" xfId="0" applyFont="1" applyBorder="1" applyAlignment="1">
      <alignment vertical="center"/>
    </xf>
    <xf numFmtId="38" fontId="6" fillId="0" borderId="6" xfId="0" applyNumberFormat="1" applyFont="1" applyBorder="1" applyAlignment="1">
      <alignment horizontal="center" vertical="center"/>
    </xf>
    <xf numFmtId="0" fontId="6" fillId="0" borderId="29" xfId="0" applyFont="1" applyBorder="1" applyAlignment="1">
      <alignment horizontal="center" vertical="center"/>
    </xf>
    <xf numFmtId="9" fontId="6" fillId="0" borderId="27" xfId="0" applyNumberFormat="1" applyFont="1" applyBorder="1" applyAlignment="1">
      <alignment horizontal="left" vertical="center" wrapText="1"/>
    </xf>
    <xf numFmtId="0" fontId="9" fillId="0" borderId="50" xfId="0" applyFont="1" applyBorder="1" applyAlignment="1">
      <alignment vertical="center"/>
    </xf>
    <xf numFmtId="0" fontId="6" fillId="0" borderId="49" xfId="0" applyFont="1" applyBorder="1" applyAlignment="1">
      <alignment horizontal="center" vertical="center"/>
    </xf>
    <xf numFmtId="0" fontId="6" fillId="0" borderId="27" xfId="0" applyFont="1" applyBorder="1" applyAlignment="1">
      <alignment horizontal="center" vertical="center"/>
    </xf>
    <xf numFmtId="0" fontId="9" fillId="0" borderId="0" xfId="0" applyFont="1" applyAlignment="1">
      <alignment horizontal="center" vertical="center"/>
    </xf>
    <xf numFmtId="178" fontId="13" fillId="0" borderId="0" xfId="0" applyNumberFormat="1" applyFont="1" applyAlignment="1">
      <alignment horizontal="right" vertical="center"/>
    </xf>
    <xf numFmtId="0" fontId="13" fillId="0" borderId="0" xfId="0" applyFont="1" applyAlignment="1">
      <alignment horizontal="center" vertical="center"/>
    </xf>
    <xf numFmtId="38" fontId="13" fillId="0" borderId="0" xfId="0" applyNumberFormat="1" applyFont="1" applyAlignment="1">
      <alignment horizontal="right" vertical="center"/>
    </xf>
    <xf numFmtId="38" fontId="13" fillId="0" borderId="0" xfId="0" applyNumberFormat="1" applyFont="1" applyAlignment="1">
      <alignment horizontal="right" vertical="center" shrinkToFit="1"/>
    </xf>
    <xf numFmtId="0" fontId="6" fillId="0" borderId="28" xfId="0" applyFont="1" applyBorder="1" applyAlignment="1">
      <alignment vertical="center"/>
    </xf>
    <xf numFmtId="0" fontId="9" fillId="0" borderId="28" xfId="0" applyFont="1" applyBorder="1" applyAlignment="1">
      <alignment vertical="center"/>
    </xf>
    <xf numFmtId="0" fontId="9" fillId="0" borderId="26" xfId="0" applyFont="1" applyBorder="1" applyAlignment="1">
      <alignment vertical="center"/>
    </xf>
    <xf numFmtId="0" fontId="6" fillId="0" borderId="50" xfId="0" applyFont="1" applyBorder="1" applyAlignment="1">
      <alignment vertical="center" wrapText="1" shrinkToFit="1"/>
    </xf>
    <xf numFmtId="0" fontId="9" fillId="0" borderId="6" xfId="0" applyFont="1" applyBorder="1" applyAlignment="1">
      <alignment vertical="center"/>
    </xf>
    <xf numFmtId="0" fontId="9" fillId="0" borderId="4" xfId="0" applyFont="1" applyBorder="1" applyAlignment="1">
      <alignment vertical="center"/>
    </xf>
    <xf numFmtId="40" fontId="6" fillId="0" borderId="6" xfId="0" applyNumberFormat="1" applyFont="1" applyBorder="1" applyAlignment="1">
      <alignment horizontal="right" vertical="center" shrinkToFit="1"/>
    </xf>
    <xf numFmtId="0" fontId="6" fillId="0" borderId="6" xfId="0" applyFont="1" applyBorder="1" applyAlignment="1">
      <alignment horizontal="center" vertical="center" shrinkToFit="1"/>
    </xf>
    <xf numFmtId="0" fontId="30" fillId="0" borderId="0" xfId="1" applyFont="1" applyAlignment="1">
      <alignment horizontal="left" vertical="center"/>
    </xf>
    <xf numFmtId="0" fontId="6" fillId="3" borderId="35" xfId="0" applyFont="1" applyFill="1" applyBorder="1" applyAlignment="1">
      <alignment vertical="center"/>
    </xf>
    <xf numFmtId="0" fontId="11" fillId="3" borderId="36" xfId="0" applyFont="1" applyFill="1" applyBorder="1" applyAlignment="1">
      <alignment vertical="center"/>
    </xf>
    <xf numFmtId="0" fontId="6" fillId="3" borderId="41" xfId="0" applyFont="1" applyFill="1" applyBorder="1" applyAlignment="1">
      <alignment horizontal="center" vertical="center"/>
    </xf>
    <xf numFmtId="0" fontId="11" fillId="3" borderId="37" xfId="0" applyFont="1" applyFill="1" applyBorder="1" applyAlignment="1">
      <alignment horizontal="center" vertical="center"/>
    </xf>
    <xf numFmtId="38" fontId="11" fillId="3" borderId="37" xfId="0" applyNumberFormat="1" applyFont="1" applyFill="1" applyBorder="1" applyAlignment="1">
      <alignment horizontal="right" vertical="center" shrinkToFit="1"/>
    </xf>
    <xf numFmtId="0" fontId="6" fillId="3" borderId="38" xfId="0" applyFont="1" applyFill="1" applyBorder="1"/>
    <xf numFmtId="0" fontId="9" fillId="3" borderId="20" xfId="1" applyFont="1" applyFill="1" applyBorder="1" applyAlignment="1">
      <alignment vertical="center"/>
    </xf>
    <xf numFmtId="0" fontId="9" fillId="3" borderId="21" xfId="1" applyFont="1" applyFill="1" applyBorder="1" applyAlignment="1">
      <alignment vertical="center"/>
    </xf>
    <xf numFmtId="49" fontId="6" fillId="0" borderId="0" xfId="1" applyNumberFormat="1" applyFont="1" applyAlignment="1">
      <alignment horizontal="center" vertical="center"/>
    </xf>
    <xf numFmtId="38" fontId="6" fillId="0" borderId="0" xfId="1" applyNumberFormat="1" applyFont="1" applyAlignment="1">
      <alignment horizontal="center" vertical="center"/>
    </xf>
    <xf numFmtId="9" fontId="25" fillId="0" borderId="29" xfId="1" applyNumberFormat="1" applyFont="1" applyBorder="1" applyAlignment="1">
      <alignment horizontal="left" vertical="center" wrapText="1"/>
    </xf>
    <xf numFmtId="178" fontId="25" fillId="0" borderId="19" xfId="1" applyNumberFormat="1" applyFont="1" applyBorder="1" applyAlignment="1">
      <alignment horizontal="right" vertical="center" wrapText="1" shrinkToFit="1"/>
    </xf>
    <xf numFmtId="0" fontId="38" fillId="0" borderId="6" xfId="0" applyFont="1" applyBorder="1" applyAlignment="1">
      <alignment vertical="center" wrapText="1" shrinkToFit="1"/>
    </xf>
    <xf numFmtId="0" fontId="38" fillId="0" borderId="4" xfId="0" applyFont="1" applyBorder="1" applyAlignment="1">
      <alignment vertical="center" wrapText="1" shrinkToFit="1"/>
    </xf>
    <xf numFmtId="0" fontId="38" fillId="0" borderId="6" xfId="0" applyFont="1" applyBorder="1" applyAlignment="1">
      <alignment vertical="center" shrinkToFit="1"/>
    </xf>
    <xf numFmtId="0" fontId="38" fillId="0" borderId="5" xfId="0" applyFont="1" applyBorder="1" applyAlignment="1">
      <alignment vertical="center" wrapText="1" shrinkToFit="1"/>
    </xf>
    <xf numFmtId="0" fontId="25" fillId="0" borderId="6" xfId="1" applyFont="1" applyBorder="1" applyAlignment="1">
      <alignment vertical="center" wrapText="1"/>
    </xf>
    <xf numFmtId="0" fontId="25" fillId="0" borderId="4" xfId="1" applyFont="1" applyBorder="1" applyAlignment="1">
      <alignment vertical="center" wrapText="1"/>
    </xf>
    <xf numFmtId="0" fontId="25" fillId="0" borderId="7" xfId="1" applyFont="1" applyBorder="1" applyAlignment="1">
      <alignment vertical="center"/>
    </xf>
    <xf numFmtId="0" fontId="25" fillId="0" borderId="5" xfId="1" applyFont="1" applyBorder="1" applyAlignment="1">
      <alignment vertical="center" wrapText="1" shrinkToFit="1"/>
    </xf>
    <xf numFmtId="0" fontId="25" fillId="0" borderId="6" xfId="1" applyFont="1" applyBorder="1" applyAlignment="1">
      <alignment vertical="center" wrapText="1" shrinkToFit="1"/>
    </xf>
    <xf numFmtId="0" fontId="25" fillId="0" borderId="9" xfId="1" applyFont="1" applyBorder="1" applyAlignment="1">
      <alignment vertical="center" wrapText="1" shrinkToFit="1"/>
    </xf>
    <xf numFmtId="0" fontId="25" fillId="0" borderId="29" xfId="0" applyFont="1" applyBorder="1" applyAlignment="1">
      <alignment vertical="center" wrapText="1" shrinkToFit="1"/>
    </xf>
    <xf numFmtId="0" fontId="25" fillId="0" borderId="25" xfId="0" applyFont="1" applyBorder="1" applyAlignment="1">
      <alignment horizontal="left" vertical="center" wrapText="1" shrinkToFit="1"/>
    </xf>
    <xf numFmtId="0" fontId="25" fillId="0" borderId="25" xfId="0" applyFont="1" applyBorder="1" applyAlignment="1">
      <alignment horizontal="left" vertical="center" shrinkToFit="1"/>
    </xf>
    <xf numFmtId="3" fontId="14" fillId="0" borderId="4" xfId="0" applyNumberFormat="1" applyFont="1" applyBorder="1" applyAlignment="1">
      <alignment horizontal="right" vertical="center"/>
    </xf>
    <xf numFmtId="178" fontId="6" fillId="0" borderId="29" xfId="1" applyNumberFormat="1" applyFont="1" applyBorder="1" applyAlignment="1">
      <alignment horizontal="center" vertical="center" wrapText="1" shrinkToFit="1"/>
    </xf>
    <xf numFmtId="0" fontId="35" fillId="0" borderId="0" xfId="0" applyFont="1" applyAlignment="1">
      <alignment horizontal="left" vertical="center" indent="1"/>
    </xf>
    <xf numFmtId="0" fontId="36" fillId="0" borderId="0" xfId="0" applyFont="1" applyAlignment="1">
      <alignment horizontal="center" vertical="center"/>
    </xf>
    <xf numFmtId="0" fontId="14" fillId="0" borderId="25" xfId="0" applyFont="1" applyBorder="1" applyAlignment="1">
      <alignment horizontal="center" vertical="center" wrapText="1" shrinkToFit="1"/>
    </xf>
    <xf numFmtId="0" fontId="14" fillId="0" borderId="7" xfId="0" applyFont="1" applyBorder="1" applyAlignment="1">
      <alignment horizontal="center" vertical="center" wrapText="1" shrinkToFit="1"/>
    </xf>
    <xf numFmtId="0" fontId="6" fillId="0" borderId="14" xfId="0" applyFont="1" applyBorder="1" applyAlignment="1">
      <alignment horizontal="center" vertical="center"/>
    </xf>
    <xf numFmtId="0" fontId="6" fillId="0" borderId="25" xfId="0" applyFont="1" applyBorder="1" applyAlignment="1">
      <alignment horizontal="center" vertical="center" shrinkToFit="1"/>
    </xf>
    <xf numFmtId="0" fontId="6" fillId="0" borderId="7" xfId="0" applyFont="1" applyBorder="1" applyAlignment="1">
      <alignment horizontal="center" vertical="center" shrinkToFit="1"/>
    </xf>
    <xf numFmtId="0" fontId="36" fillId="0" borderId="0" xfId="0" applyFont="1" applyAlignment="1">
      <alignment vertical="center"/>
    </xf>
    <xf numFmtId="0" fontId="39" fillId="3" borderId="20" xfId="1" applyFont="1" applyFill="1" applyBorder="1" applyAlignment="1">
      <alignment vertical="center"/>
    </xf>
    <xf numFmtId="0" fontId="26" fillId="3" borderId="21" xfId="1" applyFont="1" applyFill="1" applyBorder="1"/>
    <xf numFmtId="0" fontId="7" fillId="3" borderId="52" xfId="1" applyFont="1" applyFill="1" applyBorder="1" applyAlignment="1">
      <alignment horizontal="left" vertical="center"/>
    </xf>
    <xf numFmtId="0" fontId="14" fillId="3" borderId="3" xfId="0" applyFont="1" applyFill="1" applyBorder="1" applyAlignment="1">
      <alignment horizontal="left" vertical="center" shrinkToFit="1"/>
    </xf>
    <xf numFmtId="0" fontId="14" fillId="3" borderId="3" xfId="0" applyFont="1" applyFill="1" applyBorder="1" applyAlignment="1">
      <alignment horizontal="right" vertical="center"/>
    </xf>
    <xf numFmtId="0" fontId="14" fillId="3" borderId="3" xfId="0" applyFont="1" applyFill="1" applyBorder="1" applyAlignment="1">
      <alignment horizontal="center" vertical="center"/>
    </xf>
    <xf numFmtId="3" fontId="14" fillId="3" borderId="3" xfId="0" applyNumberFormat="1" applyFont="1" applyFill="1" applyBorder="1" applyAlignment="1">
      <alignment horizontal="right" vertical="center"/>
    </xf>
    <xf numFmtId="178" fontId="6" fillId="3" borderId="53" xfId="1" applyNumberFormat="1" applyFont="1" applyFill="1" applyBorder="1" applyAlignment="1">
      <alignment vertical="center" wrapText="1" shrinkToFit="1"/>
    </xf>
    <xf numFmtId="0" fontId="11" fillId="0" borderId="31" xfId="0" applyFont="1" applyBorder="1" applyAlignment="1">
      <alignment vertical="center"/>
    </xf>
    <xf numFmtId="0" fontId="11" fillId="0" borderId="13" xfId="0" applyFont="1" applyBorder="1" applyAlignment="1">
      <alignment vertical="center"/>
    </xf>
    <xf numFmtId="178" fontId="11" fillId="0" borderId="13" xfId="0" applyNumberFormat="1" applyFont="1" applyBorder="1" applyAlignment="1">
      <alignment horizontal="right" vertical="center"/>
    </xf>
    <xf numFmtId="0" fontId="11" fillId="0" borderId="13" xfId="0" applyFont="1" applyBorder="1" applyAlignment="1">
      <alignment horizontal="center" vertical="center"/>
    </xf>
    <xf numFmtId="38" fontId="11" fillId="0" borderId="13" xfId="0" applyNumberFormat="1" applyFont="1" applyBorder="1" applyAlignment="1">
      <alignment horizontal="right" vertical="center"/>
    </xf>
    <xf numFmtId="3" fontId="11" fillId="0" borderId="13" xfId="0" applyNumberFormat="1" applyFont="1" applyBorder="1" applyAlignment="1">
      <alignment horizontal="right" vertical="center" shrinkToFit="1"/>
    </xf>
    <xf numFmtId="9" fontId="11" fillId="0" borderId="51" xfId="0" applyNumberFormat="1" applyFont="1" applyBorder="1" applyAlignment="1">
      <alignment horizontal="left" vertical="center"/>
    </xf>
    <xf numFmtId="9" fontId="11" fillId="0" borderId="30" xfId="0" applyNumberFormat="1" applyFont="1" applyBorder="1" applyAlignment="1">
      <alignment horizontal="left" vertical="center"/>
    </xf>
    <xf numFmtId="178" fontId="11" fillId="3" borderId="37" xfId="0" applyNumberFormat="1" applyFont="1" applyFill="1" applyBorder="1" applyAlignment="1">
      <alignment horizontal="center" vertical="center"/>
    </xf>
    <xf numFmtId="0" fontId="6" fillId="0" borderId="60" xfId="0" applyFont="1" applyBorder="1" applyAlignment="1">
      <alignment horizontal="center" vertical="center"/>
    </xf>
    <xf numFmtId="0" fontId="6" fillId="0" borderId="27" xfId="0" applyFont="1" applyBorder="1" applyAlignment="1">
      <alignment vertical="center" wrapText="1" shrinkToFit="1"/>
    </xf>
    <xf numFmtId="0" fontId="11" fillId="4" borderId="41" xfId="0" applyFont="1" applyFill="1" applyBorder="1" applyAlignment="1">
      <alignment horizontal="center" vertical="center"/>
    </xf>
    <xf numFmtId="0" fontId="6" fillId="0" borderId="56" xfId="0" applyFont="1" applyBorder="1" applyAlignment="1">
      <alignment vertical="center"/>
    </xf>
    <xf numFmtId="0" fontId="11" fillId="4" borderId="41" xfId="0" applyFont="1" applyFill="1" applyBorder="1" applyAlignment="1">
      <alignment vertical="center"/>
    </xf>
    <xf numFmtId="0" fontId="11" fillId="2" borderId="61" xfId="0" applyFont="1" applyFill="1" applyBorder="1" applyAlignment="1">
      <alignment vertical="center"/>
    </xf>
    <xf numFmtId="0" fontId="6" fillId="0" borderId="59" xfId="0" applyFont="1" applyBorder="1" applyAlignment="1">
      <alignment vertical="center"/>
    </xf>
    <xf numFmtId="179" fontId="6" fillId="0" borderId="4" xfId="0" applyNumberFormat="1" applyFont="1" applyBorder="1" applyAlignment="1">
      <alignment horizontal="right" vertical="center" shrinkToFit="1"/>
    </xf>
    <xf numFmtId="0" fontId="6" fillId="0" borderId="62" xfId="1" applyFont="1" applyBorder="1" applyAlignment="1">
      <alignment horizontal="center" vertical="center"/>
    </xf>
    <xf numFmtId="0" fontId="14" fillId="0" borderId="63" xfId="0" applyFont="1" applyBorder="1" applyAlignment="1">
      <alignment horizontal="left" vertical="center" shrinkToFit="1"/>
    </xf>
    <xf numFmtId="0" fontId="38" fillId="0" borderId="63" xfId="0" applyFont="1" applyBorder="1" applyAlignment="1">
      <alignment vertical="center" shrinkToFit="1"/>
    </xf>
    <xf numFmtId="0" fontId="14" fillId="0" borderId="63" xfId="0" applyFont="1" applyBorder="1" applyAlignment="1">
      <alignment horizontal="right" vertical="center"/>
    </xf>
    <xf numFmtId="0" fontId="14" fillId="0" borderId="63" xfId="0" applyFont="1" applyBorder="1" applyAlignment="1">
      <alignment horizontal="center" vertical="center"/>
    </xf>
    <xf numFmtId="3" fontId="14" fillId="0" borderId="63" xfId="0" applyNumberFormat="1" applyFont="1" applyBorder="1" applyAlignment="1">
      <alignment horizontal="right" vertical="center"/>
    </xf>
    <xf numFmtId="178" fontId="6" fillId="0" borderId="64" xfId="1" applyNumberFormat="1" applyFont="1" applyBorder="1" applyAlignment="1">
      <alignment vertical="center" wrapText="1" shrinkToFit="1"/>
    </xf>
    <xf numFmtId="0" fontId="6" fillId="0" borderId="65" xfId="0" applyFont="1" applyBorder="1" applyAlignment="1">
      <alignment horizontal="center" vertical="center"/>
    </xf>
    <xf numFmtId="0" fontId="6" fillId="0" borderId="66" xfId="0" applyFont="1" applyBorder="1" applyAlignment="1">
      <alignment vertical="center"/>
    </xf>
    <xf numFmtId="0" fontId="6" fillId="0" borderId="66" xfId="0" applyFont="1" applyBorder="1" applyAlignment="1">
      <alignment vertical="center" wrapText="1" shrinkToFit="1"/>
    </xf>
    <xf numFmtId="40" fontId="6" fillId="0" borderId="66" xfId="0" applyNumberFormat="1" applyFont="1" applyBorder="1" applyAlignment="1">
      <alignment horizontal="right" vertical="center" shrinkToFit="1"/>
    </xf>
    <xf numFmtId="0" fontId="6" fillId="0" borderId="66" xfId="0" applyFont="1" applyBorder="1" applyAlignment="1">
      <alignment horizontal="center" vertical="center" shrinkToFit="1"/>
    </xf>
    <xf numFmtId="38" fontId="6" fillId="0" borderId="66" xfId="0" applyNumberFormat="1" applyFont="1" applyBorder="1" applyAlignment="1">
      <alignment horizontal="right" vertical="center" shrinkToFit="1"/>
    </xf>
    <xf numFmtId="0" fontId="11" fillId="0" borderId="67" xfId="0" applyFont="1" applyBorder="1" applyAlignment="1">
      <alignment horizontal="left" vertical="center"/>
    </xf>
    <xf numFmtId="38" fontId="6" fillId="0" borderId="4" xfId="1" applyNumberFormat="1" applyFont="1" applyBorder="1" applyAlignment="1">
      <alignment horizontal="right" vertical="center" shrinkToFit="1"/>
    </xf>
    <xf numFmtId="178" fontId="25" fillId="0" borderId="27" xfId="1" applyNumberFormat="1" applyFont="1" applyBorder="1" applyAlignment="1">
      <alignment horizontal="right" vertical="center" wrapText="1" shrinkToFit="1"/>
    </xf>
    <xf numFmtId="0" fontId="38" fillId="0" borderId="63" xfId="0" applyFont="1" applyBorder="1" applyAlignment="1">
      <alignment vertical="center" wrapText="1" shrinkToFit="1"/>
    </xf>
    <xf numFmtId="38" fontId="14" fillId="0" borderId="63" xfId="0" applyNumberFormat="1" applyFont="1" applyBorder="1" applyAlignment="1">
      <alignment horizontal="right" vertical="center"/>
    </xf>
    <xf numFmtId="178" fontId="25" fillId="0" borderId="64" xfId="1" applyNumberFormat="1" applyFont="1" applyBorder="1" applyAlignment="1">
      <alignment vertical="center" wrapText="1" shrinkToFit="1"/>
    </xf>
    <xf numFmtId="0" fontId="6" fillId="0" borderId="65" xfId="1" applyFont="1" applyBorder="1" applyAlignment="1">
      <alignment horizontal="center" vertical="center"/>
    </xf>
    <xf numFmtId="0" fontId="6" fillId="0" borderId="66" xfId="1" applyFont="1" applyBorder="1" applyAlignment="1">
      <alignment vertical="center" shrinkToFit="1"/>
    </xf>
    <xf numFmtId="0" fontId="25" fillId="0" borderId="66" xfId="1" applyFont="1" applyBorder="1" applyAlignment="1">
      <alignment vertical="center" wrapText="1" shrinkToFit="1"/>
    </xf>
    <xf numFmtId="40" fontId="6" fillId="0" borderId="66" xfId="1" applyNumberFormat="1" applyFont="1" applyBorder="1" applyAlignment="1">
      <alignment horizontal="right" vertical="center" shrinkToFit="1"/>
    </xf>
    <xf numFmtId="40" fontId="6" fillId="0" borderId="66" xfId="1" applyNumberFormat="1" applyFont="1" applyBorder="1" applyAlignment="1">
      <alignment horizontal="center" vertical="center" shrinkToFit="1"/>
    </xf>
    <xf numFmtId="38" fontId="6" fillId="0" borderId="66" xfId="1" applyNumberFormat="1" applyFont="1" applyBorder="1" applyAlignment="1">
      <alignment horizontal="right" vertical="center" shrinkToFit="1"/>
    </xf>
    <xf numFmtId="178" fontId="25" fillId="0" borderId="68" xfId="1" applyNumberFormat="1" applyFont="1" applyBorder="1" applyAlignment="1">
      <alignment horizontal="left" vertical="center" wrapText="1" shrinkToFit="1"/>
    </xf>
    <xf numFmtId="0" fontId="6" fillId="0" borderId="18" xfId="1" applyFont="1" applyBorder="1" applyAlignment="1">
      <alignment horizontal="center" vertical="center"/>
    </xf>
    <xf numFmtId="0" fontId="6" fillId="0" borderId="1" xfId="1" applyFont="1" applyBorder="1" applyAlignment="1">
      <alignment vertical="center" shrinkToFit="1"/>
    </xf>
    <xf numFmtId="0" fontId="6" fillId="0" borderId="1" xfId="1" applyFont="1" applyBorder="1" applyAlignment="1">
      <alignment vertical="center" wrapText="1" shrinkToFit="1"/>
    </xf>
    <xf numFmtId="0" fontId="6" fillId="0" borderId="16" xfId="1" applyFont="1" applyBorder="1" applyAlignment="1">
      <alignment vertical="center" shrinkToFit="1"/>
    </xf>
    <xf numFmtId="40" fontId="6" fillId="0" borderId="1" xfId="1" applyNumberFormat="1" applyFont="1" applyBorder="1" applyAlignment="1">
      <alignment horizontal="right" vertical="center" shrinkToFit="1"/>
    </xf>
    <xf numFmtId="40" fontId="6" fillId="0" borderId="69" xfId="1" applyNumberFormat="1" applyFont="1" applyBorder="1" applyAlignment="1">
      <alignment horizontal="center" vertical="center" shrinkToFit="1"/>
    </xf>
    <xf numFmtId="0" fontId="6" fillId="0" borderId="16" xfId="1" applyFont="1" applyBorder="1" applyAlignment="1">
      <alignment vertical="center" wrapText="1" shrinkToFit="1"/>
    </xf>
    <xf numFmtId="40" fontId="6" fillId="0" borderId="16" xfId="1" applyNumberFormat="1" applyFont="1" applyBorder="1" applyAlignment="1">
      <alignment horizontal="right" vertical="center" shrinkToFit="1"/>
    </xf>
    <xf numFmtId="0" fontId="6" fillId="0" borderId="69" xfId="0" applyFont="1" applyBorder="1" applyAlignment="1">
      <alignment vertical="center"/>
    </xf>
    <xf numFmtId="0" fontId="6" fillId="0" borderId="18" xfId="0" applyFont="1" applyBorder="1" applyAlignment="1">
      <alignment horizontal="center" vertical="center"/>
    </xf>
    <xf numFmtId="0" fontId="6" fillId="0" borderId="31" xfId="0" applyFont="1" applyBorder="1" applyAlignment="1">
      <alignment horizontal="center" vertical="center"/>
    </xf>
    <xf numFmtId="0" fontId="6" fillId="0" borderId="16" xfId="0" applyFont="1" applyBorder="1" applyAlignment="1">
      <alignment vertical="center"/>
    </xf>
    <xf numFmtId="178" fontId="6" fillId="0" borderId="16" xfId="0" applyNumberFormat="1" applyFont="1" applyBorder="1" applyAlignment="1">
      <alignment horizontal="right" vertical="center"/>
    </xf>
    <xf numFmtId="0" fontId="6" fillId="0" borderId="59" xfId="0" applyFont="1" applyBorder="1" applyAlignment="1">
      <alignment horizontal="left" vertical="center"/>
    </xf>
    <xf numFmtId="0" fontId="6" fillId="0" borderId="56" xfId="0" applyFont="1" applyBorder="1" applyAlignment="1">
      <alignment horizontal="left" vertical="center"/>
    </xf>
    <xf numFmtId="0" fontId="11" fillId="4" borderId="61" xfId="0" applyFont="1" applyFill="1" applyBorder="1" applyAlignment="1">
      <alignment horizontal="left" vertical="center"/>
    </xf>
    <xf numFmtId="0" fontId="6" fillId="0" borderId="15" xfId="0" applyFont="1" applyBorder="1" applyAlignment="1">
      <alignment horizontal="center" vertical="center"/>
    </xf>
    <xf numFmtId="0" fontId="6" fillId="4" borderId="36" xfId="0" applyFont="1" applyFill="1" applyBorder="1" applyAlignment="1">
      <alignment horizontal="center" vertical="center"/>
    </xf>
    <xf numFmtId="0" fontId="6" fillId="0" borderId="69" xfId="0" applyFont="1" applyBorder="1" applyAlignment="1">
      <alignment horizontal="center" vertical="center"/>
    </xf>
    <xf numFmtId="178" fontId="6" fillId="4" borderId="36" xfId="0" applyNumberFormat="1" applyFont="1" applyFill="1" applyBorder="1" applyAlignment="1">
      <alignment horizontal="center" vertical="center"/>
    </xf>
    <xf numFmtId="0" fontId="6" fillId="0" borderId="4" xfId="0" applyFont="1" applyBorder="1" applyAlignment="1">
      <alignment horizontal="left" vertical="center"/>
    </xf>
    <xf numFmtId="0" fontId="6" fillId="0" borderId="13" xfId="0" applyFont="1" applyBorder="1" applyAlignment="1">
      <alignment horizontal="left" vertical="center"/>
    </xf>
    <xf numFmtId="0" fontId="11" fillId="4" borderId="37" xfId="0" applyFont="1" applyFill="1" applyBorder="1" applyAlignment="1">
      <alignment horizontal="left" vertical="center"/>
    </xf>
    <xf numFmtId="0" fontId="41" fillId="0" borderId="0" xfId="1" applyFont="1" applyAlignment="1">
      <alignment vertical="center"/>
    </xf>
    <xf numFmtId="0" fontId="6" fillId="2" borderId="35" xfId="1" applyFont="1" applyFill="1" applyBorder="1" applyAlignment="1">
      <alignment vertical="center"/>
    </xf>
    <xf numFmtId="0" fontId="6" fillId="2" borderId="36" xfId="1" applyFont="1" applyFill="1" applyBorder="1" applyAlignment="1">
      <alignment vertical="center"/>
    </xf>
    <xf numFmtId="0" fontId="25" fillId="2" borderId="36" xfId="1" applyFont="1" applyFill="1" applyBorder="1" applyAlignment="1">
      <alignment vertical="center" wrapText="1"/>
    </xf>
    <xf numFmtId="178" fontId="6" fillId="2" borderId="36" xfId="1" applyNumberFormat="1" applyFont="1" applyFill="1" applyBorder="1" applyAlignment="1">
      <alignment horizontal="right" vertical="center"/>
    </xf>
    <xf numFmtId="0" fontId="6" fillId="2" borderId="36" xfId="1" applyFont="1" applyFill="1" applyBorder="1" applyAlignment="1">
      <alignment horizontal="center" vertical="center"/>
    </xf>
    <xf numFmtId="38" fontId="6" fillId="2" borderId="37" xfId="1" applyNumberFormat="1" applyFont="1" applyFill="1" applyBorder="1" applyAlignment="1">
      <alignment horizontal="right" vertical="center" shrinkToFit="1"/>
    </xf>
    <xf numFmtId="0" fontId="37" fillId="2" borderId="38" xfId="1" applyFont="1" applyFill="1" applyBorder="1" applyAlignment="1">
      <alignment horizontal="left" vertical="center"/>
    </xf>
    <xf numFmtId="177" fontId="6" fillId="0" borderId="0" xfId="1" applyNumberFormat="1" applyFont="1" applyAlignment="1">
      <alignment horizontal="left" vertical="center"/>
    </xf>
    <xf numFmtId="0" fontId="25" fillId="0" borderId="1" xfId="1" applyFont="1" applyBorder="1" applyAlignment="1">
      <alignment horizontal="center"/>
    </xf>
    <xf numFmtId="177" fontId="15" fillId="0" borderId="0" xfId="1" applyNumberFormat="1" applyFont="1" applyAlignment="1">
      <alignment horizontal="left" vertical="center"/>
    </xf>
    <xf numFmtId="177" fontId="15" fillId="0" borderId="19" xfId="1" applyNumberFormat="1" applyFont="1" applyBorder="1" applyAlignment="1">
      <alignment horizontal="left" vertical="center"/>
    </xf>
    <xf numFmtId="0" fontId="5" fillId="0" borderId="1" xfId="1" applyFont="1" applyBorder="1" applyAlignment="1">
      <alignment horizontal="center" vertical="center" shrinkToFit="1"/>
    </xf>
    <xf numFmtId="0" fontId="22" fillId="0" borderId="0" xfId="1" applyFont="1" applyAlignment="1">
      <alignment horizontal="center" vertical="center"/>
    </xf>
    <xf numFmtId="0" fontId="16" fillId="0" borderId="15" xfId="1" applyFont="1" applyBorder="1" applyAlignment="1">
      <alignment horizontal="center" vertical="center"/>
    </xf>
    <xf numFmtId="0" fontId="16" fillId="0" borderId="16" xfId="1" applyFont="1" applyBorder="1" applyAlignment="1">
      <alignment horizontal="center" vertical="center"/>
    </xf>
    <xf numFmtId="0" fontId="16" fillId="0" borderId="17" xfId="1" applyFont="1" applyBorder="1" applyAlignment="1">
      <alignment horizontal="center" vertical="center"/>
    </xf>
    <xf numFmtId="0" fontId="16" fillId="0" borderId="18" xfId="1" applyFont="1" applyBorder="1" applyAlignment="1">
      <alignment horizontal="center" vertical="center"/>
    </xf>
    <xf numFmtId="0" fontId="16" fillId="0" borderId="0" xfId="1" applyFont="1" applyAlignment="1">
      <alignment horizontal="center" vertical="center"/>
    </xf>
    <xf numFmtId="0" fontId="16" fillId="0" borderId="19" xfId="1" applyFont="1" applyBorder="1" applyAlignment="1">
      <alignment horizontal="center" vertical="center"/>
    </xf>
    <xf numFmtId="0" fontId="16" fillId="0" borderId="22" xfId="1" applyFont="1" applyBorder="1" applyAlignment="1">
      <alignment horizontal="center" vertical="center"/>
    </xf>
    <xf numFmtId="0" fontId="16" fillId="0" borderId="24" xfId="1" applyFont="1" applyBorder="1" applyAlignment="1">
      <alignment horizontal="center" vertical="center"/>
    </xf>
    <xf numFmtId="0" fontId="16" fillId="0" borderId="23" xfId="1" applyFont="1" applyBorder="1" applyAlignment="1">
      <alignment horizontal="center" vertical="center"/>
    </xf>
    <xf numFmtId="176" fontId="6" fillId="0" borderId="0" xfId="1" applyNumberFormat="1" applyFont="1" applyAlignment="1">
      <alignment horizontal="right" vertical="center"/>
    </xf>
    <xf numFmtId="0" fontId="20" fillId="5" borderId="0" xfId="1" applyFont="1" applyFill="1" applyAlignment="1">
      <alignment horizontal="center" vertical="center"/>
    </xf>
    <xf numFmtId="0" fontId="22" fillId="0" borderId="0" xfId="1" applyFont="1" applyAlignment="1">
      <alignment horizontal="left" vertical="center" shrinkToFit="1"/>
    </xf>
    <xf numFmtId="182" fontId="21" fillId="6" borderId="0" xfId="1" applyNumberFormat="1" applyFont="1" applyFill="1" applyAlignment="1">
      <alignment horizontal="right" vertical="center"/>
    </xf>
    <xf numFmtId="0" fontId="30" fillId="0" borderId="0" xfId="1" applyFont="1" applyAlignment="1">
      <alignment horizontal="left" vertical="center" wrapText="1"/>
    </xf>
    <xf numFmtId="0" fontId="7" fillId="2" borderId="0" xfId="1" applyFont="1" applyFill="1" applyAlignment="1">
      <alignment horizontal="center" vertical="center"/>
    </xf>
    <xf numFmtId="0" fontId="9" fillId="4" borderId="0" xfId="0" applyFont="1" applyFill="1" applyAlignment="1">
      <alignment horizontal="center" vertical="center"/>
    </xf>
    <xf numFmtId="0" fontId="9" fillId="3" borderId="20" xfId="0" applyFont="1" applyFill="1" applyBorder="1" applyAlignment="1">
      <alignment horizontal="left" vertical="center"/>
    </xf>
    <xf numFmtId="0" fontId="9" fillId="3" borderId="21" xfId="0" applyFont="1" applyFill="1" applyBorder="1" applyAlignment="1">
      <alignment horizontal="left" vertical="center"/>
    </xf>
    <xf numFmtId="0" fontId="9" fillId="3" borderId="45" xfId="0" applyFont="1" applyFill="1" applyBorder="1" applyAlignment="1">
      <alignment horizontal="left" vertical="center"/>
    </xf>
    <xf numFmtId="0" fontId="11" fillId="0" borderId="56" xfId="0" applyFont="1" applyBorder="1" applyAlignment="1">
      <alignment horizontal="center" vertical="center"/>
    </xf>
    <xf numFmtId="0" fontId="11" fillId="0" borderId="57" xfId="0" applyFont="1" applyBorder="1" applyAlignment="1">
      <alignment horizontal="center" vertical="center"/>
    </xf>
    <xf numFmtId="0" fontId="32" fillId="0" borderId="15" xfId="1" applyFont="1" applyBorder="1" applyAlignment="1">
      <alignment horizontal="left" vertical="center" wrapText="1" indent="1"/>
    </xf>
    <xf numFmtId="0" fontId="32" fillId="0" borderId="16" xfId="1" applyFont="1" applyBorder="1" applyAlignment="1">
      <alignment horizontal="left" vertical="center" wrapText="1" indent="1"/>
    </xf>
    <xf numFmtId="0" fontId="32" fillId="0" borderId="17" xfId="1" applyFont="1" applyBorder="1" applyAlignment="1">
      <alignment horizontal="left" vertical="center" wrapText="1" indent="1"/>
    </xf>
    <xf numFmtId="0" fontId="32" fillId="0" borderId="18" xfId="1" applyFont="1" applyBorder="1" applyAlignment="1">
      <alignment horizontal="left" vertical="center" wrapText="1" indent="1"/>
    </xf>
    <xf numFmtId="0" fontId="32" fillId="0" borderId="0" xfId="1" applyFont="1" applyAlignment="1">
      <alignment horizontal="left" vertical="center" wrapText="1" indent="1"/>
    </xf>
    <xf numFmtId="0" fontId="32" fillId="0" borderId="19" xfId="1" applyFont="1" applyBorder="1" applyAlignment="1">
      <alignment horizontal="left" vertical="center" wrapText="1" indent="1"/>
    </xf>
    <xf numFmtId="0" fontId="32" fillId="0" borderId="22" xfId="1" applyFont="1" applyBorder="1" applyAlignment="1">
      <alignment horizontal="left" vertical="center" wrapText="1" indent="1"/>
    </xf>
    <xf numFmtId="0" fontId="32" fillId="0" borderId="24" xfId="1" applyFont="1" applyBorder="1" applyAlignment="1">
      <alignment horizontal="left" vertical="center" wrapText="1" indent="1"/>
    </xf>
    <xf numFmtId="0" fontId="32" fillId="0" borderId="23" xfId="1" applyFont="1" applyBorder="1" applyAlignment="1">
      <alignment horizontal="left" vertical="center" wrapText="1" indent="1"/>
    </xf>
    <xf numFmtId="0" fontId="14" fillId="0" borderId="25" xfId="0" applyFont="1" applyBorder="1" applyAlignment="1">
      <alignment horizontal="center" vertical="center" shrinkToFit="1"/>
    </xf>
    <xf numFmtId="0" fontId="14" fillId="0" borderId="7" xfId="0" applyFont="1" applyBorder="1" applyAlignment="1">
      <alignment horizontal="center" vertical="center" shrinkToFit="1"/>
    </xf>
    <xf numFmtId="0" fontId="14" fillId="3" borderId="58" xfId="0" applyFont="1" applyFill="1" applyBorder="1" applyAlignment="1">
      <alignment horizontal="center" vertical="center" shrinkToFit="1"/>
    </xf>
    <xf numFmtId="0" fontId="14" fillId="3" borderId="2" xfId="0" applyFont="1" applyFill="1" applyBorder="1" applyAlignment="1">
      <alignment horizontal="center" vertical="center" shrinkToFit="1"/>
    </xf>
    <xf numFmtId="0" fontId="6" fillId="0" borderId="54" xfId="0" applyFont="1" applyBorder="1" applyAlignment="1">
      <alignment horizontal="center" vertical="center" wrapText="1" shrinkToFit="1"/>
    </xf>
    <xf numFmtId="0" fontId="6" fillId="0" borderId="55" xfId="0" applyFont="1" applyBorder="1" applyAlignment="1">
      <alignment horizontal="center" vertical="center" wrapText="1" shrinkToFit="1"/>
    </xf>
    <xf numFmtId="0" fontId="6" fillId="0" borderId="25" xfId="0" applyFont="1" applyBorder="1" applyAlignment="1">
      <alignment horizontal="center" vertical="center"/>
    </xf>
    <xf numFmtId="0" fontId="6" fillId="0" borderId="7" xfId="0" applyFont="1" applyBorder="1" applyAlignment="1">
      <alignment horizontal="center" vertical="center"/>
    </xf>
    <xf numFmtId="0" fontId="14" fillId="0" borderId="59" xfId="0" applyFont="1" applyBorder="1" applyAlignment="1">
      <alignment horizontal="center" vertical="center" shrinkToFit="1"/>
    </xf>
    <xf numFmtId="0" fontId="14" fillId="0" borderId="50" xfId="0" applyFont="1" applyBorder="1" applyAlignment="1">
      <alignment horizontal="center" vertical="center" shrinkToFit="1"/>
    </xf>
    <xf numFmtId="0" fontId="14" fillId="0" borderId="25" xfId="0" applyFont="1" applyBorder="1" applyAlignment="1">
      <alignment horizontal="center" vertical="center" wrapText="1" shrinkToFit="1"/>
    </xf>
    <xf numFmtId="0" fontId="14" fillId="0" borderId="7" xfId="0" applyFont="1" applyBorder="1" applyAlignment="1">
      <alignment horizontal="center" vertical="center" wrapText="1" shrinkToFit="1"/>
    </xf>
    <xf numFmtId="0" fontId="36" fillId="0" borderId="0" xfId="0" applyFont="1" applyAlignment="1">
      <alignment horizontal="left" vertical="center"/>
    </xf>
    <xf numFmtId="0" fontId="36" fillId="0" borderId="24" xfId="0" applyFont="1" applyBorder="1" applyAlignment="1">
      <alignment horizontal="left" vertical="center"/>
    </xf>
    <xf numFmtId="0" fontId="27" fillId="3" borderId="48" xfId="1" applyFont="1" applyFill="1" applyBorder="1" applyAlignment="1">
      <alignment horizontal="center" vertical="center"/>
    </xf>
    <xf numFmtId="0" fontId="27" fillId="3" borderId="45" xfId="1" applyFont="1" applyFill="1" applyBorder="1" applyAlignment="1">
      <alignment horizontal="center" vertical="center"/>
    </xf>
    <xf numFmtId="0" fontId="6" fillId="0" borderId="25" xfId="0" applyFont="1" applyBorder="1" applyAlignment="1">
      <alignment horizontal="center" vertical="center" shrinkToFit="1"/>
    </xf>
    <xf numFmtId="0" fontId="6" fillId="0" borderId="7" xfId="0" applyFont="1" applyBorder="1" applyAlignment="1">
      <alignment horizontal="center" vertical="center" shrinkToFit="1"/>
    </xf>
    <xf numFmtId="0" fontId="9" fillId="0" borderId="0" xfId="0" applyFont="1" applyAlignment="1">
      <alignment horizontal="center" vertical="center"/>
    </xf>
    <xf numFmtId="182" fontId="21" fillId="5" borderId="0" xfId="1" applyNumberFormat="1" applyFont="1" applyFill="1" applyAlignment="1">
      <alignment horizontal="center" vertical="center"/>
    </xf>
  </cellXfs>
  <cellStyles count="3">
    <cellStyle name="標準" xfId="0" builtinId="0"/>
    <cellStyle name="標準 2" xfId="1" xr:uid="{00000000-0005-0000-0000-000001000000}"/>
    <cellStyle name="標準 2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640080</xdr:colOff>
      <xdr:row>25</xdr:row>
      <xdr:rowOff>43815</xdr:rowOff>
    </xdr:from>
    <xdr:to>
      <xdr:col>19</xdr:col>
      <xdr:colOff>182880</xdr:colOff>
      <xdr:row>27</xdr:row>
      <xdr:rowOff>228600</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8269605" y="6054090"/>
          <a:ext cx="2028825" cy="680085"/>
          <a:chOff x="8429495" y="5938642"/>
          <a:chExt cx="2028433" cy="677058"/>
        </a:xfrm>
      </xdr:grpSpPr>
      <xdr:grpSp>
        <xdr:nvGrpSpPr>
          <xdr:cNvPr id="3" name="グループ化 2">
            <a:extLst>
              <a:ext uri="{FF2B5EF4-FFF2-40B4-BE49-F238E27FC236}">
                <a16:creationId xmlns:a16="http://schemas.microsoft.com/office/drawing/2014/main" id="{00000000-0008-0000-0000-000003000000}"/>
              </a:ext>
            </a:extLst>
          </xdr:cNvPr>
          <xdr:cNvGrpSpPr/>
        </xdr:nvGrpSpPr>
        <xdr:grpSpPr>
          <a:xfrm>
            <a:off x="8429495" y="5938642"/>
            <a:ext cx="2028433" cy="677058"/>
            <a:chOff x="8439150" y="5934075"/>
            <a:chExt cx="2028825" cy="676275"/>
          </a:xfrm>
        </xdr:grpSpPr>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8439150" y="5934075"/>
              <a:ext cx="1352550" cy="676275"/>
              <a:chOff x="9058275" y="5819775"/>
              <a:chExt cx="1352550" cy="676275"/>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9734550" y="58197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総務部</a:t>
                </a:r>
              </a:p>
            </xdr:txBody>
          </xdr:sp>
          <xdr:cxnSp macro="">
            <xdr:nvCxnSpPr>
              <xdr:cNvPr id="8" name="直線コネクタ 7">
                <a:extLst>
                  <a:ext uri="{FF2B5EF4-FFF2-40B4-BE49-F238E27FC236}">
                    <a16:creationId xmlns:a16="http://schemas.microsoft.com/office/drawing/2014/main" id="{00000000-0008-0000-0000-000008000000}"/>
                  </a:ext>
                </a:extLst>
              </xdr:cNvPr>
              <xdr:cNvCxnSpPr>
                <a:cxnSpLocks noChangeShapeType="1"/>
              </xdr:cNvCxnSpPr>
            </xdr:nvCxnSpPr>
            <xdr:spPr bwMode="auto">
              <a:xfrm flipV="1">
                <a:off x="9734550" y="6038850"/>
                <a:ext cx="666750" cy="0"/>
              </a:xfrm>
              <a:prstGeom prst="line">
                <a:avLst/>
              </a:prstGeom>
              <a:noFill/>
              <a:ln w="9525" algn="ctr">
                <a:solidFill>
                  <a:srgbClr val="000000"/>
                </a:solidFill>
                <a:round/>
                <a:headEnd/>
                <a:tailEnd/>
              </a:ln>
            </xdr:spPr>
          </xdr:cxnSp>
          <xdr:sp macro="" textlink="">
            <xdr:nvSpPr>
              <xdr:cNvPr id="9" name="正方形/長方形 8">
                <a:extLst>
                  <a:ext uri="{FF2B5EF4-FFF2-40B4-BE49-F238E27FC236}">
                    <a16:creationId xmlns:a16="http://schemas.microsoft.com/office/drawing/2014/main" id="{00000000-0008-0000-0000-000009000000}"/>
                  </a:ext>
                </a:extLst>
              </xdr:cNvPr>
              <xdr:cNvSpPr/>
            </xdr:nvSpPr>
            <xdr:spPr>
              <a:xfrm>
                <a:off x="9058275" y="58197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検印</a:t>
                </a:r>
              </a:p>
            </xdr:txBody>
          </xdr:sp>
          <xdr:cxnSp macro="">
            <xdr:nvCxnSpPr>
              <xdr:cNvPr id="10" name="直線コネクタ 7">
                <a:extLst>
                  <a:ext uri="{FF2B5EF4-FFF2-40B4-BE49-F238E27FC236}">
                    <a16:creationId xmlns:a16="http://schemas.microsoft.com/office/drawing/2014/main" id="{00000000-0008-0000-0000-00000A000000}"/>
                  </a:ext>
                </a:extLst>
              </xdr:cNvPr>
              <xdr:cNvCxnSpPr>
                <a:cxnSpLocks noChangeShapeType="1"/>
              </xdr:cNvCxnSpPr>
            </xdr:nvCxnSpPr>
            <xdr:spPr bwMode="auto">
              <a:xfrm flipV="1">
                <a:off x="9058275" y="6038850"/>
                <a:ext cx="666750" cy="0"/>
              </a:xfrm>
              <a:prstGeom prst="line">
                <a:avLst/>
              </a:prstGeom>
              <a:noFill/>
              <a:ln w="9525" algn="ctr">
                <a:solidFill>
                  <a:srgbClr val="000000"/>
                </a:solidFill>
                <a:round/>
                <a:headEnd/>
                <a:tailEnd/>
              </a:ln>
            </xdr:spPr>
          </xdr:cxnSp>
        </xdr:grpSp>
        <xdr:sp macro="" textlink="">
          <xdr:nvSpPr>
            <xdr:cNvPr id="6" name="正方形/長方形 5">
              <a:extLst>
                <a:ext uri="{FF2B5EF4-FFF2-40B4-BE49-F238E27FC236}">
                  <a16:creationId xmlns:a16="http://schemas.microsoft.com/office/drawing/2014/main" id="{00000000-0008-0000-0000-000006000000}"/>
                </a:ext>
              </a:extLst>
            </xdr:cNvPr>
            <xdr:cNvSpPr/>
          </xdr:nvSpPr>
          <xdr:spPr>
            <a:xfrm>
              <a:off x="9791700" y="59340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申請部</a:t>
              </a:r>
            </a:p>
          </xdr:txBody>
        </xdr:sp>
      </xdr:grpSp>
      <xdr:cxnSp macro="">
        <xdr:nvCxnSpPr>
          <xdr:cNvPr id="4" name="直線コネクタ 7">
            <a:extLst>
              <a:ext uri="{FF2B5EF4-FFF2-40B4-BE49-F238E27FC236}">
                <a16:creationId xmlns:a16="http://schemas.microsoft.com/office/drawing/2014/main" id="{00000000-0008-0000-0000-000004000000}"/>
              </a:ext>
            </a:extLst>
          </xdr:cNvPr>
          <xdr:cNvCxnSpPr>
            <a:cxnSpLocks noChangeShapeType="1"/>
          </xdr:cNvCxnSpPr>
        </xdr:nvCxnSpPr>
        <xdr:spPr bwMode="auto">
          <a:xfrm flipV="1">
            <a:off x="9790656" y="6157978"/>
            <a:ext cx="667272" cy="0"/>
          </a:xfrm>
          <a:prstGeom prst="line">
            <a:avLst/>
          </a:prstGeom>
          <a:noFill/>
          <a:ln w="9525" algn="ctr">
            <a:solidFill>
              <a:srgbClr val="000000"/>
            </a:solidFill>
            <a:round/>
            <a:headEnd/>
            <a:tailEnd/>
          </a:ln>
        </xdr:spPr>
      </xdr:cxnSp>
    </xdr:grpSp>
    <xdr:clientData/>
  </xdr:twoCellAnchor>
  <xdr:twoCellAnchor>
    <xdr:from>
      <xdr:col>22</xdr:col>
      <xdr:colOff>116206</xdr:colOff>
      <xdr:row>4</xdr:row>
      <xdr:rowOff>38100</xdr:rowOff>
    </xdr:from>
    <xdr:to>
      <xdr:col>23</xdr:col>
      <xdr:colOff>352425</xdr:colOff>
      <xdr:row>6</xdr:row>
      <xdr:rowOff>114301</xdr:rowOff>
    </xdr:to>
    <xdr:sp macro="" textlink="">
      <xdr:nvSpPr>
        <xdr:cNvPr id="11" name="正方形/長方形 10">
          <a:extLst>
            <a:ext uri="{FF2B5EF4-FFF2-40B4-BE49-F238E27FC236}">
              <a16:creationId xmlns:a16="http://schemas.microsoft.com/office/drawing/2014/main" id="{00000000-0008-0000-0000-00000B000000}"/>
            </a:ext>
          </a:extLst>
        </xdr:cNvPr>
        <xdr:cNvSpPr/>
      </xdr:nvSpPr>
      <xdr:spPr>
        <a:xfrm>
          <a:off x="11603356" y="1028700"/>
          <a:ext cx="922019" cy="5715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見積書保存</a:t>
          </a:r>
        </a:p>
      </xdr:txBody>
    </xdr:sp>
    <xdr:clientData/>
  </xdr:twoCellAnchor>
  <xdr:twoCellAnchor>
    <xdr:from>
      <xdr:col>22</xdr:col>
      <xdr:colOff>106681</xdr:colOff>
      <xdr:row>7</xdr:row>
      <xdr:rowOff>123825</xdr:rowOff>
    </xdr:from>
    <xdr:to>
      <xdr:col>23</xdr:col>
      <xdr:colOff>342900</xdr:colOff>
      <xdr:row>9</xdr:row>
      <xdr:rowOff>180976</xdr:rowOff>
    </xdr:to>
    <xdr:sp macro="" textlink="">
      <xdr:nvSpPr>
        <xdr:cNvPr id="12" name="正方形/長方形 11">
          <a:extLst>
            <a:ext uri="{FF2B5EF4-FFF2-40B4-BE49-F238E27FC236}">
              <a16:creationId xmlns:a16="http://schemas.microsoft.com/office/drawing/2014/main" id="{00000000-0008-0000-0000-00000C000000}"/>
            </a:ext>
          </a:extLst>
        </xdr:cNvPr>
        <xdr:cNvSpPr/>
      </xdr:nvSpPr>
      <xdr:spPr>
        <a:xfrm>
          <a:off x="11593831" y="1857375"/>
          <a:ext cx="922019" cy="5715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見積書呼出</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640080</xdr:colOff>
      <xdr:row>25</xdr:row>
      <xdr:rowOff>43815</xdr:rowOff>
    </xdr:from>
    <xdr:to>
      <xdr:col>19</xdr:col>
      <xdr:colOff>182880</xdr:colOff>
      <xdr:row>27</xdr:row>
      <xdr:rowOff>228600</xdr:rowOff>
    </xdr:to>
    <xdr:grpSp>
      <xdr:nvGrpSpPr>
        <xdr:cNvPr id="2" name="グループ化 1">
          <a:extLst>
            <a:ext uri="{FF2B5EF4-FFF2-40B4-BE49-F238E27FC236}">
              <a16:creationId xmlns:a16="http://schemas.microsoft.com/office/drawing/2014/main" id="{00000000-0008-0000-0400-000002000000}"/>
            </a:ext>
          </a:extLst>
        </xdr:cNvPr>
        <xdr:cNvGrpSpPr/>
      </xdr:nvGrpSpPr>
      <xdr:grpSpPr>
        <a:xfrm>
          <a:off x="8269605" y="6054090"/>
          <a:ext cx="2028825" cy="680085"/>
          <a:chOff x="8429495" y="5938642"/>
          <a:chExt cx="2028433" cy="677058"/>
        </a:xfrm>
      </xdr:grpSpPr>
      <xdr:grpSp>
        <xdr:nvGrpSpPr>
          <xdr:cNvPr id="3" name="グループ化 2">
            <a:extLst>
              <a:ext uri="{FF2B5EF4-FFF2-40B4-BE49-F238E27FC236}">
                <a16:creationId xmlns:a16="http://schemas.microsoft.com/office/drawing/2014/main" id="{00000000-0008-0000-0400-000003000000}"/>
              </a:ext>
            </a:extLst>
          </xdr:cNvPr>
          <xdr:cNvGrpSpPr/>
        </xdr:nvGrpSpPr>
        <xdr:grpSpPr>
          <a:xfrm>
            <a:off x="8429495" y="5938642"/>
            <a:ext cx="2028433" cy="677058"/>
            <a:chOff x="8439150" y="5934075"/>
            <a:chExt cx="2028825" cy="676275"/>
          </a:xfrm>
        </xdr:grpSpPr>
        <xdr:grpSp>
          <xdr:nvGrpSpPr>
            <xdr:cNvPr id="5" name="グループ化 4">
              <a:extLst>
                <a:ext uri="{FF2B5EF4-FFF2-40B4-BE49-F238E27FC236}">
                  <a16:creationId xmlns:a16="http://schemas.microsoft.com/office/drawing/2014/main" id="{00000000-0008-0000-0400-000005000000}"/>
                </a:ext>
              </a:extLst>
            </xdr:cNvPr>
            <xdr:cNvGrpSpPr/>
          </xdr:nvGrpSpPr>
          <xdr:grpSpPr>
            <a:xfrm>
              <a:off x="8439150" y="5934075"/>
              <a:ext cx="1352550" cy="676275"/>
              <a:chOff x="9058275" y="5819775"/>
              <a:chExt cx="1352550" cy="676275"/>
            </a:xfrm>
          </xdr:grpSpPr>
          <xdr:sp macro="" textlink="">
            <xdr:nvSpPr>
              <xdr:cNvPr id="7" name="正方形/長方形 6">
                <a:extLst>
                  <a:ext uri="{FF2B5EF4-FFF2-40B4-BE49-F238E27FC236}">
                    <a16:creationId xmlns:a16="http://schemas.microsoft.com/office/drawing/2014/main" id="{00000000-0008-0000-0400-000007000000}"/>
                  </a:ext>
                </a:extLst>
              </xdr:cNvPr>
              <xdr:cNvSpPr/>
            </xdr:nvSpPr>
            <xdr:spPr>
              <a:xfrm>
                <a:off x="9734550" y="58197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総務部</a:t>
                </a:r>
              </a:p>
            </xdr:txBody>
          </xdr:sp>
          <xdr:cxnSp macro="">
            <xdr:nvCxnSpPr>
              <xdr:cNvPr id="8" name="直線コネクタ 7">
                <a:extLst>
                  <a:ext uri="{FF2B5EF4-FFF2-40B4-BE49-F238E27FC236}">
                    <a16:creationId xmlns:a16="http://schemas.microsoft.com/office/drawing/2014/main" id="{00000000-0008-0000-0400-000008000000}"/>
                  </a:ext>
                </a:extLst>
              </xdr:cNvPr>
              <xdr:cNvCxnSpPr>
                <a:cxnSpLocks noChangeShapeType="1"/>
              </xdr:cNvCxnSpPr>
            </xdr:nvCxnSpPr>
            <xdr:spPr bwMode="auto">
              <a:xfrm flipV="1">
                <a:off x="9734550" y="6038850"/>
                <a:ext cx="666750" cy="0"/>
              </a:xfrm>
              <a:prstGeom prst="line">
                <a:avLst/>
              </a:prstGeom>
              <a:noFill/>
              <a:ln w="9525" algn="ctr">
                <a:solidFill>
                  <a:srgbClr val="000000"/>
                </a:solidFill>
                <a:round/>
                <a:headEnd/>
                <a:tailEnd/>
              </a:ln>
            </xdr:spPr>
          </xdr:cxnSp>
          <xdr:sp macro="" textlink="">
            <xdr:nvSpPr>
              <xdr:cNvPr id="9" name="正方形/長方形 8">
                <a:extLst>
                  <a:ext uri="{FF2B5EF4-FFF2-40B4-BE49-F238E27FC236}">
                    <a16:creationId xmlns:a16="http://schemas.microsoft.com/office/drawing/2014/main" id="{00000000-0008-0000-0400-000009000000}"/>
                  </a:ext>
                </a:extLst>
              </xdr:cNvPr>
              <xdr:cNvSpPr/>
            </xdr:nvSpPr>
            <xdr:spPr>
              <a:xfrm>
                <a:off x="9058275" y="58197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検印</a:t>
                </a:r>
              </a:p>
            </xdr:txBody>
          </xdr:sp>
          <xdr:cxnSp macro="">
            <xdr:nvCxnSpPr>
              <xdr:cNvPr id="10" name="直線コネクタ 7">
                <a:extLst>
                  <a:ext uri="{FF2B5EF4-FFF2-40B4-BE49-F238E27FC236}">
                    <a16:creationId xmlns:a16="http://schemas.microsoft.com/office/drawing/2014/main" id="{00000000-0008-0000-0400-00000A000000}"/>
                  </a:ext>
                </a:extLst>
              </xdr:cNvPr>
              <xdr:cNvCxnSpPr>
                <a:cxnSpLocks noChangeShapeType="1"/>
              </xdr:cNvCxnSpPr>
            </xdr:nvCxnSpPr>
            <xdr:spPr bwMode="auto">
              <a:xfrm flipV="1">
                <a:off x="9058275" y="6038850"/>
                <a:ext cx="666750" cy="0"/>
              </a:xfrm>
              <a:prstGeom prst="line">
                <a:avLst/>
              </a:prstGeom>
              <a:noFill/>
              <a:ln w="9525" algn="ctr">
                <a:solidFill>
                  <a:srgbClr val="000000"/>
                </a:solidFill>
                <a:round/>
                <a:headEnd/>
                <a:tailEnd/>
              </a:ln>
            </xdr:spPr>
          </xdr:cxnSp>
        </xdr:grpSp>
        <xdr:sp macro="" textlink="">
          <xdr:nvSpPr>
            <xdr:cNvPr id="6" name="正方形/長方形 5">
              <a:extLst>
                <a:ext uri="{FF2B5EF4-FFF2-40B4-BE49-F238E27FC236}">
                  <a16:creationId xmlns:a16="http://schemas.microsoft.com/office/drawing/2014/main" id="{00000000-0008-0000-0400-000006000000}"/>
                </a:ext>
              </a:extLst>
            </xdr:cNvPr>
            <xdr:cNvSpPr/>
          </xdr:nvSpPr>
          <xdr:spPr>
            <a:xfrm>
              <a:off x="9791700" y="5934075"/>
              <a:ext cx="676275" cy="6762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none" lIns="90000" tIns="36000" rtlCol="0" anchor="t"/>
            <a:lstStyle/>
            <a:p>
              <a:pPr algn="ctr" rtl="0">
                <a:defRPr sz="1000"/>
              </a:pPr>
              <a:r>
                <a:rPr lang="ja-JP" altLang="en-US" sz="1100" b="0" i="0" u="none" strike="noStrike" baseline="0">
                  <a:solidFill>
                    <a:schemeClr val="tx1"/>
                  </a:solidFill>
                  <a:latin typeface="ＭＳ Ｐゴシック"/>
                  <a:ea typeface="ＭＳ Ｐゴシック"/>
                </a:rPr>
                <a:t>申請部</a:t>
              </a:r>
            </a:p>
          </xdr:txBody>
        </xdr:sp>
      </xdr:grpSp>
      <xdr:cxnSp macro="">
        <xdr:nvCxnSpPr>
          <xdr:cNvPr id="4" name="直線コネクタ 7">
            <a:extLst>
              <a:ext uri="{FF2B5EF4-FFF2-40B4-BE49-F238E27FC236}">
                <a16:creationId xmlns:a16="http://schemas.microsoft.com/office/drawing/2014/main" id="{00000000-0008-0000-0400-000004000000}"/>
              </a:ext>
            </a:extLst>
          </xdr:cNvPr>
          <xdr:cNvCxnSpPr>
            <a:cxnSpLocks noChangeShapeType="1"/>
          </xdr:cNvCxnSpPr>
        </xdr:nvCxnSpPr>
        <xdr:spPr bwMode="auto">
          <a:xfrm flipV="1">
            <a:off x="9790656" y="6157978"/>
            <a:ext cx="667272" cy="0"/>
          </a:xfrm>
          <a:prstGeom prst="line">
            <a:avLst/>
          </a:prstGeom>
          <a:noFill/>
          <a:ln w="9525" algn="ctr">
            <a:solidFill>
              <a:srgbClr val="000000"/>
            </a:solidFill>
            <a:round/>
            <a:headEnd/>
            <a:tailEnd/>
          </a:ln>
        </xdr:spPr>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H29"/>
  <sheetViews>
    <sheetView view="pageBreakPreview" topLeftCell="A4" zoomScaleNormal="100" zoomScaleSheetLayoutView="100" workbookViewId="0">
      <selection activeCell="F13" sqref="F13:Q13"/>
    </sheetView>
  </sheetViews>
  <sheetFormatPr defaultColWidth="9" defaultRowHeight="20.100000000000001" customHeight="1"/>
  <cols>
    <col min="1" max="1" width="2.625" style="52" customWidth="1"/>
    <col min="2" max="3" width="6.125" style="52" customWidth="1"/>
    <col min="4" max="4" width="10.125" style="52" customWidth="1"/>
    <col min="5" max="5" width="4.125" style="52" customWidth="1"/>
    <col min="6" max="6" width="3" style="52" customWidth="1"/>
    <col min="7" max="7" width="4" style="52" customWidth="1"/>
    <col min="8" max="8" width="6.125" style="52" customWidth="1"/>
    <col min="9" max="9" width="2" style="52" customWidth="1"/>
    <col min="10" max="10" width="6.125" style="52" customWidth="1"/>
    <col min="11" max="11" width="3.625" style="52" customWidth="1"/>
    <col min="12" max="12" width="6.125" style="52" customWidth="1"/>
    <col min="13" max="13" width="9.25" style="52" customWidth="1"/>
    <col min="14" max="14" width="5.625" style="52" customWidth="1"/>
    <col min="15" max="15" width="8.5" style="52" customWidth="1"/>
    <col min="16" max="16" width="16.625" style="52" customWidth="1"/>
    <col min="17" max="17" width="19.75" style="52" customWidth="1"/>
    <col min="18" max="18" width="6.375" style="52" customWidth="1"/>
    <col min="19" max="19" width="6.5" style="52" customWidth="1"/>
    <col min="20" max="20" width="8.75" style="52" customWidth="1"/>
    <col min="21" max="21" width="0.25" style="52" customWidth="1"/>
    <col min="22" max="16384" width="9" style="52"/>
  </cols>
  <sheetData>
    <row r="1" spans="1:25" ht="20.100000000000001" customHeight="1">
      <c r="B1" s="100" t="s">
        <v>26</v>
      </c>
      <c r="C1" s="360">
        <v>111</v>
      </c>
      <c r="D1" s="360"/>
      <c r="R1" s="374">
        <v>1</v>
      </c>
      <c r="S1" s="374"/>
      <c r="T1" s="374"/>
    </row>
    <row r="2" spans="1:25" ht="20.100000000000001" customHeight="1" thickBot="1">
      <c r="B2" s="98"/>
      <c r="C2" s="99"/>
      <c r="I2" s="53"/>
      <c r="J2" s="53"/>
      <c r="K2" s="53"/>
      <c r="L2" s="53"/>
      <c r="M2" s="53"/>
      <c r="N2" s="53"/>
      <c r="O2" s="53"/>
      <c r="P2" s="53"/>
      <c r="Q2" s="53"/>
      <c r="R2" s="54"/>
    </row>
    <row r="3" spans="1:25" ht="20.100000000000001" customHeight="1">
      <c r="B3" s="55"/>
      <c r="C3" s="96"/>
      <c r="D3" s="97"/>
      <c r="E3" s="56"/>
      <c r="F3" s="56"/>
      <c r="G3" s="56"/>
      <c r="H3" s="56"/>
      <c r="I3" s="57"/>
      <c r="J3" s="56"/>
      <c r="K3" s="56"/>
      <c r="L3" s="56"/>
      <c r="M3" s="56"/>
      <c r="N3" s="56"/>
      <c r="O3" s="56"/>
      <c r="P3" s="56"/>
      <c r="Q3" s="56"/>
      <c r="R3" s="130"/>
      <c r="S3" s="130"/>
      <c r="T3" s="131"/>
    </row>
    <row r="4" spans="1:25" ht="20.100000000000001" customHeight="1" thickBot="1">
      <c r="B4" s="58"/>
      <c r="I4" s="54"/>
      <c r="T4" s="59"/>
    </row>
    <row r="5" spans="1:25" ht="20.100000000000001" customHeight="1">
      <c r="A5" s="60"/>
      <c r="B5" s="61"/>
      <c r="C5" s="60"/>
      <c r="D5" s="95"/>
      <c r="E5" s="95"/>
      <c r="F5" s="60"/>
      <c r="G5" s="60"/>
      <c r="H5" s="60"/>
      <c r="I5" s="365" t="s">
        <v>9</v>
      </c>
      <c r="J5" s="366"/>
      <c r="K5" s="366"/>
      <c r="L5" s="366"/>
      <c r="M5" s="366"/>
      <c r="N5" s="366"/>
      <c r="O5" s="366"/>
      <c r="P5" s="367"/>
      <c r="Q5" s="60"/>
      <c r="R5" s="74"/>
      <c r="S5" s="154"/>
      <c r="T5" s="155"/>
    </row>
    <row r="6" spans="1:25" ht="20.100000000000001" customHeight="1">
      <c r="A6" s="60"/>
      <c r="B6" s="61"/>
      <c r="C6" s="60"/>
      <c r="D6" s="60"/>
      <c r="E6" s="60"/>
      <c r="F6" s="60"/>
      <c r="G6" s="60"/>
      <c r="H6" s="60"/>
      <c r="I6" s="368"/>
      <c r="J6" s="369"/>
      <c r="K6" s="369"/>
      <c r="L6" s="369"/>
      <c r="M6" s="369"/>
      <c r="N6" s="369"/>
      <c r="O6" s="369"/>
      <c r="P6" s="370"/>
      <c r="Q6" s="60"/>
      <c r="R6" s="361">
        <f ca="1">TODAY()</f>
        <v>45770</v>
      </c>
      <c r="S6" s="361"/>
      <c r="T6" s="362"/>
    </row>
    <row r="7" spans="1:25" ht="20.100000000000001" customHeight="1" thickBot="1">
      <c r="A7" s="62"/>
      <c r="B7" s="63"/>
      <c r="C7" s="62"/>
      <c r="D7" s="62"/>
      <c r="E7" s="62"/>
      <c r="F7" s="62"/>
      <c r="G7" s="62"/>
      <c r="H7" s="62"/>
      <c r="I7" s="371"/>
      <c r="J7" s="372"/>
      <c r="K7" s="372"/>
      <c r="L7" s="372"/>
      <c r="M7" s="372"/>
      <c r="N7" s="372"/>
      <c r="O7" s="372"/>
      <c r="P7" s="373"/>
      <c r="Q7" s="75"/>
      <c r="R7" s="76"/>
      <c r="T7" s="64"/>
    </row>
    <row r="8" spans="1:25" ht="21" customHeight="1">
      <c r="A8" s="62"/>
      <c r="B8" s="63"/>
      <c r="C8" s="62"/>
      <c r="D8" s="62"/>
      <c r="E8" s="62"/>
      <c r="F8" s="62"/>
      <c r="G8" s="62"/>
      <c r="H8" s="62"/>
      <c r="I8" s="60"/>
      <c r="J8" s="60"/>
      <c r="K8" s="60"/>
      <c r="L8" s="75"/>
      <c r="M8" s="75"/>
      <c r="N8" s="75"/>
      <c r="O8" s="75"/>
      <c r="P8" s="75"/>
      <c r="Q8" s="75"/>
      <c r="R8" s="77"/>
      <c r="S8" s="78"/>
      <c r="T8" s="65"/>
    </row>
    <row r="9" spans="1:25" ht="20.100000000000001" customHeight="1">
      <c r="A9" s="62"/>
      <c r="B9" s="63"/>
      <c r="C9" s="363"/>
      <c r="D9" s="363"/>
      <c r="E9" s="363"/>
      <c r="F9" s="363"/>
      <c r="G9" s="363"/>
      <c r="H9" s="363"/>
      <c r="I9" s="363"/>
      <c r="J9" s="66" t="s">
        <v>10</v>
      </c>
      <c r="K9" s="79"/>
      <c r="L9" s="62"/>
      <c r="M9" s="62"/>
      <c r="N9" s="62"/>
      <c r="O9" s="62"/>
      <c r="P9" s="62"/>
      <c r="Q9" s="62"/>
      <c r="R9" s="62"/>
      <c r="S9" s="80"/>
      <c r="T9" s="67"/>
    </row>
    <row r="10" spans="1:25" ht="20.100000000000001" customHeight="1">
      <c r="A10" s="62"/>
      <c r="B10" s="63"/>
      <c r="C10" s="62"/>
      <c r="D10" s="62"/>
      <c r="E10" s="62"/>
      <c r="F10" s="62"/>
      <c r="G10" s="62"/>
      <c r="H10" s="62"/>
      <c r="I10" s="62"/>
      <c r="J10" s="62"/>
      <c r="K10" s="62"/>
      <c r="L10" s="62"/>
      <c r="M10" s="62"/>
      <c r="N10" s="62"/>
      <c r="O10" s="62"/>
      <c r="P10" s="62"/>
      <c r="Q10" s="62"/>
      <c r="R10" s="62"/>
      <c r="S10" s="80"/>
      <c r="T10" s="67"/>
    </row>
    <row r="11" spans="1:25" ht="20.100000000000001" customHeight="1">
      <c r="A11" s="62"/>
      <c r="B11" s="63"/>
      <c r="C11" s="81" t="s">
        <v>11</v>
      </c>
      <c r="D11" s="82"/>
      <c r="E11" s="82"/>
      <c r="F11" s="82"/>
      <c r="G11" s="82"/>
      <c r="H11" s="82"/>
      <c r="I11" s="62"/>
      <c r="J11" s="62"/>
      <c r="K11" s="62"/>
      <c r="L11" s="62"/>
      <c r="M11" s="62"/>
      <c r="N11" s="62"/>
      <c r="O11" s="62"/>
      <c r="P11" s="62"/>
      <c r="Q11" s="62"/>
      <c r="R11" s="62"/>
      <c r="S11" s="80"/>
      <c r="T11" s="67"/>
    </row>
    <row r="12" spans="1:25" ht="9.75" customHeight="1">
      <c r="A12" s="62"/>
      <c r="B12" s="63"/>
      <c r="C12" s="62"/>
      <c r="D12" s="62"/>
      <c r="E12" s="62"/>
      <c r="F12" s="62"/>
      <c r="G12" s="62"/>
      <c r="H12" s="62"/>
      <c r="I12" s="62"/>
      <c r="J12" s="62"/>
      <c r="K12" s="62"/>
      <c r="L12" s="62"/>
      <c r="M12" s="62"/>
      <c r="N12" s="62"/>
      <c r="O12" s="62"/>
      <c r="P12" s="62"/>
      <c r="Q12" s="62"/>
      <c r="R12" s="62"/>
      <c r="S12" s="80"/>
      <c r="T12" s="64"/>
    </row>
    <row r="13" spans="1:25" ht="18.75" customHeight="1" thickBot="1">
      <c r="A13" s="62"/>
      <c r="B13" s="63"/>
      <c r="C13" s="62"/>
      <c r="D13" s="81" t="s">
        <v>12</v>
      </c>
      <c r="E13" s="62"/>
      <c r="F13" s="376"/>
      <c r="G13" s="376"/>
      <c r="H13" s="376"/>
      <c r="I13" s="376"/>
      <c r="J13" s="376"/>
      <c r="K13" s="376"/>
      <c r="L13" s="376"/>
      <c r="M13" s="376"/>
      <c r="N13" s="376"/>
      <c r="O13" s="376"/>
      <c r="P13" s="376"/>
      <c r="Q13" s="376"/>
      <c r="R13" s="83"/>
      <c r="S13" s="83"/>
      <c r="T13" s="68"/>
      <c r="W13" s="52" t="s">
        <v>47</v>
      </c>
    </row>
    <row r="14" spans="1:25" ht="14.25" customHeight="1">
      <c r="A14" s="62"/>
      <c r="B14" s="63"/>
      <c r="C14" s="62"/>
      <c r="D14" s="62"/>
      <c r="E14" s="62"/>
      <c r="F14" s="62"/>
      <c r="G14" s="62"/>
      <c r="H14" s="62"/>
      <c r="I14" s="62"/>
      <c r="J14" s="62"/>
      <c r="K14" s="62"/>
      <c r="L14" s="62"/>
      <c r="M14" s="62"/>
      <c r="N14" s="62"/>
      <c r="O14" s="62"/>
      <c r="P14" s="62"/>
      <c r="Q14" s="62"/>
      <c r="R14" s="62"/>
      <c r="S14" s="80"/>
      <c r="T14" s="67"/>
      <c r="W14" s="55"/>
      <c r="X14" s="56"/>
      <c r="Y14" s="172"/>
    </row>
    <row r="15" spans="1:25" ht="20.100000000000001" customHeight="1" thickBot="1">
      <c r="A15" s="62"/>
      <c r="B15" s="63"/>
      <c r="C15" s="62"/>
      <c r="D15" s="62"/>
      <c r="E15" s="62"/>
      <c r="F15" s="375" t="s">
        <v>13</v>
      </c>
      <c r="G15" s="375"/>
      <c r="H15" s="375"/>
      <c r="I15" s="375"/>
      <c r="J15" s="375"/>
      <c r="K15" s="375"/>
      <c r="L15" s="375"/>
      <c r="M15" s="377"/>
      <c r="N15" s="377"/>
      <c r="O15" s="377"/>
      <c r="P15" s="377"/>
      <c r="Q15" s="378" t="s">
        <v>72</v>
      </c>
      <c r="R15" s="378"/>
      <c r="S15" s="378"/>
      <c r="T15" s="64"/>
      <c r="W15" s="173"/>
      <c r="X15" s="70"/>
      <c r="Y15" s="174"/>
    </row>
    <row r="16" spans="1:25" ht="20.100000000000001" customHeight="1">
      <c r="A16" s="62"/>
      <c r="B16" s="63"/>
      <c r="C16" s="62"/>
      <c r="D16" s="62"/>
      <c r="E16" s="62"/>
      <c r="F16" s="375"/>
      <c r="G16" s="375"/>
      <c r="H16" s="375"/>
      <c r="I16" s="375"/>
      <c r="J16" s="375"/>
      <c r="K16" s="375"/>
      <c r="L16" s="375"/>
      <c r="M16" s="377"/>
      <c r="N16" s="377"/>
      <c r="O16" s="377"/>
      <c r="P16" s="377"/>
      <c r="Q16" s="378"/>
      <c r="R16" s="378"/>
      <c r="S16" s="378"/>
      <c r="T16" s="67"/>
    </row>
    <row r="17" spans="1:34" ht="20.100000000000001" customHeight="1">
      <c r="A17" s="62"/>
      <c r="B17" s="63"/>
      <c r="C17" s="62"/>
      <c r="D17" s="62"/>
      <c r="E17" s="62"/>
      <c r="F17" s="62"/>
      <c r="G17" s="62"/>
      <c r="H17" s="364" t="s">
        <v>14</v>
      </c>
      <c r="I17" s="364"/>
      <c r="J17" s="84" t="s">
        <v>57</v>
      </c>
      <c r="M17" s="62"/>
      <c r="N17" s="85"/>
      <c r="O17" s="86"/>
      <c r="P17" s="87"/>
      <c r="Q17" s="241"/>
      <c r="R17" s="62"/>
      <c r="S17" s="80"/>
      <c r="T17" s="64"/>
    </row>
    <row r="18" spans="1:34" ht="20.100000000000001" customHeight="1">
      <c r="A18" s="62"/>
      <c r="B18" s="63"/>
      <c r="C18" s="62"/>
      <c r="D18" s="62"/>
      <c r="E18" s="62"/>
      <c r="F18" s="62"/>
      <c r="G18" s="62"/>
      <c r="H18" s="62"/>
      <c r="I18" s="62"/>
      <c r="J18" s="84" t="s">
        <v>58</v>
      </c>
      <c r="K18" s="62"/>
      <c r="L18" s="84"/>
      <c r="M18" s="62"/>
      <c r="N18" s="85"/>
      <c r="O18" s="86"/>
      <c r="P18" s="87">
        <f>性能明細書!G25</f>
        <v>0</v>
      </c>
      <c r="Q18" s="62"/>
      <c r="R18" s="62"/>
      <c r="S18" s="80"/>
      <c r="T18" s="67"/>
    </row>
    <row r="19" spans="1:34" ht="20.100000000000001" customHeight="1">
      <c r="A19" s="62"/>
      <c r="B19" s="63"/>
      <c r="C19" s="62"/>
      <c r="D19" s="62"/>
      <c r="E19" s="62"/>
      <c r="F19" s="62"/>
      <c r="G19" s="62"/>
      <c r="H19" s="62"/>
      <c r="I19" s="62"/>
      <c r="J19" s="84" t="s">
        <v>59</v>
      </c>
      <c r="K19" s="62"/>
      <c r="L19" s="84"/>
      <c r="M19" s="62"/>
      <c r="N19" s="85"/>
      <c r="O19" s="86"/>
      <c r="P19" s="87">
        <f>その他業務!G25</f>
        <v>0</v>
      </c>
      <c r="Q19" s="62"/>
      <c r="R19" s="62"/>
      <c r="S19" s="80"/>
      <c r="T19" s="67"/>
      <c r="Y19" s="90"/>
      <c r="Z19" s="90"/>
      <c r="AA19" s="90"/>
      <c r="AB19" s="90"/>
      <c r="AC19" s="90"/>
      <c r="AD19" s="90"/>
      <c r="AE19" s="90"/>
      <c r="AF19" s="90"/>
      <c r="AG19" s="90"/>
      <c r="AH19" s="92"/>
    </row>
    <row r="20" spans="1:34" ht="20.100000000000001" customHeight="1">
      <c r="A20" s="62"/>
      <c r="B20" s="63"/>
      <c r="C20" s="62"/>
      <c r="D20" s="181"/>
      <c r="E20" s="179"/>
      <c r="F20" s="179"/>
      <c r="G20" s="179"/>
      <c r="H20" s="179"/>
      <c r="I20" s="179"/>
      <c r="K20" s="179"/>
      <c r="L20" s="182"/>
      <c r="M20" s="179"/>
      <c r="N20" s="183"/>
      <c r="O20" s="183"/>
      <c r="P20" s="179"/>
      <c r="Q20" s="351"/>
      <c r="R20" s="62"/>
      <c r="S20" s="80"/>
      <c r="T20" s="67"/>
      <c r="Y20" s="88"/>
      <c r="Z20" s="90"/>
      <c r="AA20" s="90"/>
      <c r="AB20" s="93"/>
      <c r="AC20" s="90"/>
      <c r="AD20" s="90"/>
      <c r="AE20" s="90"/>
      <c r="AF20" s="90"/>
      <c r="AG20" s="90"/>
      <c r="AH20" s="92"/>
    </row>
    <row r="21" spans="1:34" ht="20.100000000000001" customHeight="1">
      <c r="A21" s="62"/>
      <c r="B21" s="58"/>
      <c r="D21" s="184"/>
      <c r="P21" s="81"/>
      <c r="Q21" s="52" t="s">
        <v>15</v>
      </c>
      <c r="R21" s="62"/>
      <c r="S21" s="80"/>
      <c r="T21" s="67"/>
    </row>
    <row r="22" spans="1:34" ht="20.100000000000001" customHeight="1">
      <c r="A22" s="62"/>
      <c r="B22" s="150" t="s">
        <v>16</v>
      </c>
      <c r="C22" s="88"/>
      <c r="D22" s="153" t="s">
        <v>52</v>
      </c>
      <c r="E22" s="89"/>
      <c r="F22" s="90"/>
      <c r="G22" s="90"/>
      <c r="H22" s="90"/>
      <c r="I22" s="90"/>
      <c r="J22" s="90"/>
      <c r="K22" s="90"/>
      <c r="L22" s="90"/>
      <c r="M22" s="90"/>
      <c r="N22" s="90"/>
      <c r="O22" s="88"/>
      <c r="P22" s="91"/>
      <c r="Q22" s="81" t="s">
        <v>17</v>
      </c>
      <c r="R22" s="62"/>
      <c r="S22" s="80"/>
      <c r="T22" s="64"/>
    </row>
    <row r="23" spans="1:34" ht="20.100000000000001" customHeight="1">
      <c r="A23" s="62"/>
      <c r="B23" s="150" t="s">
        <v>45</v>
      </c>
      <c r="C23" s="88"/>
      <c r="D23" s="153" t="s">
        <v>21</v>
      </c>
      <c r="E23" s="88"/>
      <c r="F23" s="90"/>
      <c r="G23" s="90"/>
      <c r="H23" s="93"/>
      <c r="I23" s="90"/>
      <c r="J23" s="90"/>
      <c r="K23" s="90"/>
      <c r="L23" s="90"/>
      <c r="M23" s="90"/>
      <c r="N23" s="90"/>
      <c r="O23" s="88"/>
      <c r="P23" s="88"/>
      <c r="Q23" s="81" t="s">
        <v>18</v>
      </c>
      <c r="R23" s="62"/>
      <c r="S23" s="80"/>
      <c r="T23" s="67"/>
    </row>
    <row r="24" spans="1:34" ht="20.100000000000001" customHeight="1">
      <c r="A24" s="62"/>
      <c r="B24" s="150" t="s">
        <v>46</v>
      </c>
      <c r="C24" s="92"/>
      <c r="D24" s="153" t="s">
        <v>24</v>
      </c>
      <c r="E24" s="90"/>
      <c r="F24" s="90"/>
      <c r="G24" s="90"/>
      <c r="H24" s="90"/>
      <c r="I24" s="90"/>
      <c r="J24" s="90"/>
      <c r="K24" s="90"/>
      <c r="L24" s="90"/>
      <c r="M24" s="90"/>
      <c r="N24" s="90"/>
      <c r="O24" s="88"/>
      <c r="P24" s="88"/>
      <c r="Q24" s="81" t="s">
        <v>20</v>
      </c>
      <c r="S24" s="80"/>
      <c r="T24" s="67"/>
    </row>
    <row r="25" spans="1:34" ht="20.100000000000001" customHeight="1">
      <c r="A25" s="62"/>
      <c r="B25" s="150" t="s">
        <v>25</v>
      </c>
      <c r="C25" s="88"/>
      <c r="D25" s="153" t="s">
        <v>27</v>
      </c>
      <c r="E25" s="88"/>
      <c r="F25" s="88"/>
      <c r="G25" s="88"/>
      <c r="H25" s="88"/>
      <c r="I25" s="88"/>
      <c r="J25" s="88"/>
      <c r="K25" s="88"/>
      <c r="L25" s="88"/>
      <c r="M25" s="88"/>
      <c r="N25" s="88"/>
      <c r="O25" s="88"/>
      <c r="P25" s="88"/>
      <c r="Q25" s="94" t="s">
        <v>22</v>
      </c>
      <c r="R25" s="94" t="s">
        <v>23</v>
      </c>
      <c r="S25" s="80"/>
      <c r="T25" s="64"/>
    </row>
    <row r="26" spans="1:34" ht="20.100000000000001" customHeight="1">
      <c r="A26" s="62"/>
      <c r="B26" s="150"/>
      <c r="C26" s="88"/>
      <c r="D26" s="153" t="s">
        <v>19</v>
      </c>
      <c r="E26" s="88"/>
      <c r="F26" s="88"/>
      <c r="G26" s="88"/>
      <c r="H26" s="88"/>
      <c r="I26" s="88"/>
      <c r="J26" s="88"/>
      <c r="K26" s="88"/>
      <c r="L26" s="88"/>
      <c r="M26" s="88"/>
      <c r="N26" s="88"/>
      <c r="O26" s="88"/>
      <c r="P26" s="88"/>
      <c r="R26" s="62"/>
      <c r="S26" s="80"/>
      <c r="T26" s="69"/>
    </row>
    <row r="27" spans="1:34" ht="20.100000000000001" customHeight="1">
      <c r="A27" s="62"/>
      <c r="B27" s="150"/>
      <c r="C27" s="88"/>
      <c r="D27" s="153" t="s">
        <v>36</v>
      </c>
      <c r="E27" s="88"/>
      <c r="F27" s="88"/>
      <c r="G27" s="88"/>
      <c r="H27" s="88"/>
      <c r="I27" s="88"/>
      <c r="J27" s="88"/>
      <c r="K27" s="88"/>
      <c r="L27" s="88"/>
      <c r="M27" s="88"/>
      <c r="N27" s="88"/>
      <c r="O27" s="88"/>
      <c r="P27" s="88"/>
      <c r="R27" s="62"/>
      <c r="S27" s="80"/>
      <c r="T27" s="64"/>
    </row>
    <row r="28" spans="1:34" ht="20.100000000000001" customHeight="1">
      <c r="A28" s="62"/>
      <c r="B28" s="150"/>
      <c r="C28" s="88"/>
      <c r="D28" s="153" t="s">
        <v>37</v>
      </c>
      <c r="E28" s="170"/>
      <c r="F28" s="170"/>
      <c r="G28" s="170"/>
      <c r="H28" s="170"/>
      <c r="I28" s="170"/>
      <c r="J28" s="170"/>
      <c r="K28" s="170"/>
      <c r="L28" s="170"/>
      <c r="M28" s="170"/>
      <c r="N28" s="170"/>
      <c r="O28" s="170"/>
      <c r="P28" s="170"/>
      <c r="Q28" s="62"/>
      <c r="R28" s="62"/>
      <c r="S28" s="80"/>
      <c r="T28" s="64"/>
    </row>
    <row r="29" spans="1:34" ht="20.100000000000001" customHeight="1" thickBot="1">
      <c r="A29" s="62"/>
      <c r="B29" s="152"/>
      <c r="C29" s="70"/>
      <c r="D29" s="70"/>
      <c r="E29" s="70"/>
      <c r="F29" s="70"/>
      <c r="G29" s="70"/>
      <c r="H29" s="70"/>
      <c r="I29" s="70"/>
      <c r="J29" s="70"/>
      <c r="K29" s="70"/>
      <c r="L29" s="70"/>
      <c r="M29" s="70"/>
      <c r="N29" s="70"/>
      <c r="O29" s="70"/>
      <c r="P29" s="70"/>
      <c r="Q29" s="71"/>
      <c r="R29" s="71"/>
      <c r="S29" s="72"/>
      <c r="T29" s="73"/>
    </row>
  </sheetData>
  <mergeCells count="10">
    <mergeCell ref="C1:D1"/>
    <mergeCell ref="R6:T6"/>
    <mergeCell ref="C9:I9"/>
    <mergeCell ref="H17:I17"/>
    <mergeCell ref="I5:P7"/>
    <mergeCell ref="R1:T1"/>
    <mergeCell ref="F15:L16"/>
    <mergeCell ref="F13:Q13"/>
    <mergeCell ref="M15:P16"/>
    <mergeCell ref="Q15:S16"/>
  </mergeCells>
  <phoneticPr fontId="1"/>
  <pageMargins left="0.31496062992126" right="0.31496062992126" top="0.59055118110236204" bottom="0.196850393700787" header="0" footer="0"/>
  <pageSetup paperSize="9"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31"/>
  <sheetViews>
    <sheetView view="pageBreakPreview" topLeftCell="A4" zoomScale="115" zoomScaleNormal="100" zoomScaleSheetLayoutView="115" workbookViewId="0">
      <selection activeCell="E17" sqref="E17"/>
    </sheetView>
  </sheetViews>
  <sheetFormatPr defaultRowHeight="13.5"/>
  <cols>
    <col min="1" max="1" width="5" style="117" customWidth="1"/>
    <col min="2" max="2" width="35" style="117" customWidth="1"/>
    <col min="3" max="3" width="30.625" style="117" customWidth="1"/>
    <col min="4" max="4" width="10.5" style="117" customWidth="1"/>
    <col min="5" max="5" width="9" style="117" customWidth="1"/>
    <col min="6" max="6" width="12.25" style="124" customWidth="1"/>
    <col min="7" max="7" width="12.25" style="117" customWidth="1"/>
    <col min="8" max="8" width="25.625" style="117" customWidth="1"/>
    <col min="9" max="16384" width="9" style="117"/>
  </cols>
  <sheetData>
    <row r="1" spans="1:8" ht="21" customHeight="1">
      <c r="A1" s="1"/>
      <c r="B1" s="1"/>
      <c r="C1" s="2" t="s">
        <v>0</v>
      </c>
      <c r="D1" s="2"/>
      <c r="E1" s="1"/>
      <c r="F1" s="3"/>
      <c r="G1" s="1"/>
      <c r="H1" s="4">
        <v>2</v>
      </c>
    </row>
    <row r="2" spans="1:8" ht="21" customHeight="1" thickBot="1">
      <c r="A2" s="379" t="s">
        <v>1</v>
      </c>
      <c r="B2" s="379"/>
      <c r="C2" s="196"/>
      <c r="D2" s="250" t="s">
        <v>50</v>
      </c>
      <c r="E2" s="12">
        <v>136.41999999999999</v>
      </c>
      <c r="F2" s="251" t="s">
        <v>51</v>
      </c>
      <c r="G2" s="12">
        <v>140.77000000000001</v>
      </c>
      <c r="H2" s="359" t="s">
        <v>75</v>
      </c>
    </row>
    <row r="3" spans="1:8" ht="21" customHeight="1" thickBot="1">
      <c r="A3" s="248" t="s">
        <v>63</v>
      </c>
      <c r="B3" s="249"/>
      <c r="C3" s="249" t="s">
        <v>74</v>
      </c>
      <c r="D3" s="135" t="s">
        <v>2</v>
      </c>
      <c r="E3" s="132" t="s">
        <v>3</v>
      </c>
      <c r="F3" s="133" t="s">
        <v>4</v>
      </c>
      <c r="G3" s="132" t="s">
        <v>42</v>
      </c>
      <c r="H3" s="134" t="s">
        <v>43</v>
      </c>
    </row>
    <row r="4" spans="1:8" ht="21" customHeight="1">
      <c r="A4" s="302" t="str">
        <f>IF(B5&lt;&gt;"", "1", "")</f>
        <v/>
      </c>
      <c r="B4" s="303"/>
      <c r="C4" s="318"/>
      <c r="D4" s="305"/>
      <c r="E4" s="306"/>
      <c r="F4" s="319"/>
      <c r="G4" s="319"/>
      <c r="H4" s="320"/>
    </row>
    <row r="5" spans="1:8" ht="21" customHeight="1">
      <c r="A5" s="102" t="str">
        <f>IF(B5&lt;&gt;"", "2", "")</f>
        <v/>
      </c>
      <c r="B5" s="118"/>
      <c r="C5" s="255"/>
      <c r="D5" s="119"/>
      <c r="E5" s="120"/>
      <c r="F5" s="21"/>
      <c r="G5" s="20"/>
      <c r="H5" s="202"/>
    </row>
    <row r="6" spans="1:8" ht="21" customHeight="1">
      <c r="A6" s="102" t="str">
        <f>IF(B6&lt;&gt;"", "3", "")</f>
        <v/>
      </c>
      <c r="B6" s="121"/>
      <c r="C6" s="254"/>
      <c r="D6" s="119"/>
      <c r="E6" s="120"/>
      <c r="F6" s="21"/>
      <c r="G6" s="20"/>
      <c r="H6" s="203"/>
    </row>
    <row r="7" spans="1:8" ht="21" customHeight="1">
      <c r="A7" s="102" t="str">
        <f>IF(B7&lt;&gt;"", "4", "")</f>
        <v/>
      </c>
      <c r="B7" s="121"/>
      <c r="C7" s="254"/>
      <c r="D7" s="119"/>
      <c r="E7" s="120"/>
      <c r="F7" s="21"/>
      <c r="G7" s="21"/>
      <c r="H7" s="201"/>
    </row>
    <row r="8" spans="1:8" ht="21" customHeight="1">
      <c r="A8" s="102" t="str">
        <f>IF(B8&lt;&gt;"", "5", "")</f>
        <v/>
      </c>
      <c r="B8" s="121"/>
      <c r="C8" s="254"/>
      <c r="D8" s="119"/>
      <c r="E8" s="120"/>
      <c r="F8" s="21"/>
      <c r="G8" s="21"/>
      <c r="H8" s="203"/>
    </row>
    <row r="9" spans="1:8" ht="21" customHeight="1">
      <c r="A9" s="102" t="str">
        <f>IF(B9&lt;&gt;"", "6", "")</f>
        <v/>
      </c>
      <c r="B9" s="121"/>
      <c r="C9" s="254"/>
      <c r="D9" s="119"/>
      <c r="E9" s="120"/>
      <c r="F9" s="21"/>
      <c r="G9" s="21"/>
      <c r="H9" s="203"/>
    </row>
    <row r="10" spans="1:8" ht="21" customHeight="1">
      <c r="A10" s="102">
        <v>7</v>
      </c>
      <c r="B10" s="121"/>
      <c r="C10" s="256"/>
      <c r="D10" s="119"/>
      <c r="E10" s="120"/>
      <c r="F10" s="21"/>
      <c r="G10" s="21"/>
      <c r="H10" s="203"/>
    </row>
    <row r="11" spans="1:8" ht="21" customHeight="1">
      <c r="A11" s="102">
        <v>8</v>
      </c>
      <c r="B11" s="121"/>
      <c r="C11" s="254"/>
      <c r="D11" s="119"/>
      <c r="E11" s="120"/>
      <c r="F11" s="21"/>
      <c r="G11" s="21"/>
      <c r="H11" s="201"/>
    </row>
    <row r="12" spans="1:8" ht="21" customHeight="1">
      <c r="A12" s="102">
        <v>9</v>
      </c>
      <c r="B12" s="121"/>
      <c r="C12" s="254"/>
      <c r="D12" s="119"/>
      <c r="E12" s="120"/>
      <c r="F12" s="21"/>
      <c r="G12" s="21"/>
      <c r="H12" s="203"/>
    </row>
    <row r="13" spans="1:8" ht="21" customHeight="1">
      <c r="A13" s="102">
        <v>10</v>
      </c>
      <c r="B13" s="121"/>
      <c r="C13" s="256"/>
      <c r="D13" s="119"/>
      <c r="E13" s="180"/>
      <c r="F13" s="21"/>
      <c r="G13" s="21"/>
      <c r="H13" s="203"/>
    </row>
    <row r="14" spans="1:8" ht="21" customHeight="1">
      <c r="A14" s="102">
        <v>11</v>
      </c>
      <c r="B14" s="121"/>
      <c r="C14" s="254"/>
      <c r="D14" s="119"/>
      <c r="E14" s="120"/>
      <c r="F14" s="21"/>
      <c r="G14" s="21"/>
      <c r="H14" s="201"/>
    </row>
    <row r="15" spans="1:8" ht="21" customHeight="1">
      <c r="A15" s="192">
        <v>12</v>
      </c>
      <c r="B15" s="193"/>
      <c r="C15" s="257"/>
      <c r="D15" s="197"/>
      <c r="E15" s="194"/>
      <c r="F15" s="21"/>
      <c r="G15" s="195"/>
      <c r="H15" s="203"/>
    </row>
    <row r="16" spans="1:8" ht="21" customHeight="1">
      <c r="A16" s="102">
        <v>13</v>
      </c>
      <c r="B16" s="7"/>
      <c r="C16" s="258"/>
      <c r="D16" s="119"/>
      <c r="E16" s="8"/>
      <c r="F16" s="21"/>
      <c r="G16" s="195"/>
      <c r="H16" s="201"/>
    </row>
    <row r="17" spans="1:8" ht="21" customHeight="1">
      <c r="A17" s="102">
        <v>14</v>
      </c>
      <c r="B17" s="7"/>
      <c r="C17" s="258"/>
      <c r="D17" s="197"/>
      <c r="E17" s="8"/>
      <c r="F17" s="21"/>
      <c r="G17" s="17"/>
      <c r="H17" s="203"/>
    </row>
    <row r="18" spans="1:8" ht="21" customHeight="1">
      <c r="A18" s="101">
        <v>15</v>
      </c>
      <c r="B18" s="198"/>
      <c r="C18" s="259"/>
      <c r="D18" s="119"/>
      <c r="E18" s="199"/>
      <c r="F18" s="200"/>
      <c r="G18" s="18"/>
      <c r="H18" s="203"/>
    </row>
    <row r="19" spans="1:8" ht="21" customHeight="1">
      <c r="A19" s="102">
        <v>16</v>
      </c>
      <c r="B19" s="7"/>
      <c r="C19" s="258"/>
      <c r="D19" s="119"/>
      <c r="E19" s="8"/>
      <c r="F19" s="19"/>
      <c r="G19" s="17"/>
      <c r="H19" s="252"/>
    </row>
    <row r="20" spans="1:8" ht="21" customHeight="1">
      <c r="A20" s="204">
        <v>17</v>
      </c>
      <c r="B20" s="7"/>
      <c r="C20" s="260"/>
      <c r="D20" s="197"/>
      <c r="E20" s="8"/>
      <c r="F20" s="19"/>
      <c r="G20" s="205"/>
      <c r="H20" s="206"/>
    </row>
    <row r="21" spans="1:8" ht="21" customHeight="1">
      <c r="A21" s="101">
        <v>18</v>
      </c>
      <c r="B21" s="122"/>
      <c r="C21" s="261"/>
      <c r="D21" s="113"/>
      <c r="E21" s="114"/>
      <c r="F21" s="6"/>
      <c r="G21" s="6"/>
      <c r="H21" s="206"/>
    </row>
    <row r="22" spans="1:8" ht="21" customHeight="1">
      <c r="A22" s="102">
        <v>19</v>
      </c>
      <c r="B22" s="123"/>
      <c r="C22" s="262"/>
      <c r="D22" s="115"/>
      <c r="E22" s="116"/>
      <c r="F22" s="5"/>
      <c r="G22" s="5"/>
      <c r="H22" s="206"/>
    </row>
    <row r="23" spans="1:8" ht="21" customHeight="1">
      <c r="A23" s="102">
        <v>20</v>
      </c>
      <c r="B23" s="122"/>
      <c r="C23" s="261"/>
      <c r="D23" s="119"/>
      <c r="E23" s="116"/>
      <c r="F23" s="6"/>
      <c r="G23" s="6"/>
      <c r="H23" s="206"/>
    </row>
    <row r="24" spans="1:8" ht="21" customHeight="1">
      <c r="A24" s="102">
        <v>21</v>
      </c>
      <c r="B24" s="207"/>
      <c r="C24" s="263"/>
      <c r="D24" s="115"/>
      <c r="E24" s="116"/>
      <c r="F24" s="9"/>
      <c r="G24" s="9"/>
      <c r="H24" s="210"/>
    </row>
    <row r="25" spans="1:8" ht="21" customHeight="1" thickBot="1">
      <c r="A25" s="321">
        <v>22</v>
      </c>
      <c r="B25" s="322"/>
      <c r="C25" s="323"/>
      <c r="D25" s="324"/>
      <c r="E25" s="325"/>
      <c r="F25" s="326"/>
      <c r="G25" s="326"/>
      <c r="H25" s="327"/>
    </row>
    <row r="26" spans="1:8" ht="21" customHeight="1">
      <c r="A26" s="328"/>
      <c r="B26" s="331"/>
      <c r="C26" s="334"/>
      <c r="D26" s="335"/>
      <c r="E26" s="333"/>
      <c r="F26" s="300" t="s">
        <v>69</v>
      </c>
      <c r="G26" s="316">
        <f>SUM(G4:G25)</f>
        <v>0</v>
      </c>
      <c r="H26" s="317"/>
    </row>
    <row r="27" spans="1:8" ht="21" customHeight="1">
      <c r="A27" s="208"/>
      <c r="B27" s="329"/>
      <c r="C27" s="330"/>
      <c r="D27" s="332"/>
      <c r="E27" s="209"/>
      <c r="F27" s="297" t="s">
        <v>70</v>
      </c>
      <c r="G27" s="6">
        <f>G26*0.1</f>
        <v>0</v>
      </c>
      <c r="H27" s="253"/>
    </row>
    <row r="28" spans="1:8" ht="21" customHeight="1" thickBot="1">
      <c r="A28" s="352"/>
      <c r="B28" s="353"/>
      <c r="C28" s="354"/>
      <c r="D28" s="355"/>
      <c r="E28" s="356"/>
      <c r="F28" s="299" t="s">
        <v>7</v>
      </c>
      <c r="G28" s="357">
        <f>SUM(G26:G27)</f>
        <v>0</v>
      </c>
      <c r="H28" s="358"/>
    </row>
    <row r="29" spans="1:8" ht="26.25" customHeight="1">
      <c r="A29" s="10"/>
      <c r="B29" s="10"/>
      <c r="C29" s="10"/>
      <c r="D29" s="11"/>
      <c r="E29" s="12"/>
      <c r="F29" s="13"/>
      <c r="G29" s="14"/>
      <c r="H29" s="15"/>
    </row>
    <row r="30" spans="1:8" ht="26.25" customHeight="1">
      <c r="A30" s="10"/>
      <c r="B30" s="16"/>
      <c r="C30" s="10"/>
      <c r="D30" s="11"/>
      <c r="E30" s="12"/>
      <c r="F30" s="13"/>
      <c r="G30" s="14"/>
      <c r="H30" s="15"/>
    </row>
    <row r="31" spans="1:8" ht="26.25" customHeight="1">
      <c r="A31" s="10"/>
      <c r="B31" s="10"/>
      <c r="C31" s="10"/>
      <c r="D31" s="11"/>
      <c r="E31" s="12"/>
      <c r="F31" s="13"/>
      <c r="G31" s="14"/>
      <c r="H31" s="15"/>
    </row>
  </sheetData>
  <mergeCells count="1">
    <mergeCell ref="A2:B2"/>
  </mergeCells>
  <phoneticPr fontId="1"/>
  <pageMargins left="0.43307086614173229" right="0.31496062992125984" top="0.59055118110236227" bottom="0.19685039370078741" header="0" footer="0"/>
  <pageSetup paperSize="9"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H31"/>
  <sheetViews>
    <sheetView view="pageBreakPreview" zoomScaleNormal="100" zoomScaleSheetLayoutView="100" workbookViewId="0">
      <selection activeCell="B4" sqref="B4:J11"/>
    </sheetView>
  </sheetViews>
  <sheetFormatPr defaultRowHeight="13.5"/>
  <cols>
    <col min="1" max="1" width="5" style="117" customWidth="1"/>
    <col min="2" max="2" width="35" style="117" customWidth="1"/>
    <col min="3" max="3" width="30.625" style="117" customWidth="1"/>
    <col min="4" max="4" width="10.5" style="117" customWidth="1"/>
    <col min="5" max="5" width="9" style="117" customWidth="1"/>
    <col min="6" max="6" width="12.25" style="124" customWidth="1"/>
    <col min="7" max="7" width="12.25" style="117" customWidth="1"/>
    <col min="8" max="8" width="25.625" style="117" customWidth="1"/>
    <col min="9" max="16384" width="9" style="117"/>
  </cols>
  <sheetData>
    <row r="1" spans="1:8" ht="22.5" customHeight="1">
      <c r="A1" s="22"/>
      <c r="B1" s="22"/>
      <c r="C1" s="23" t="s">
        <v>0</v>
      </c>
      <c r="D1" s="23"/>
      <c r="E1" s="22"/>
      <c r="F1" s="24"/>
      <c r="G1" s="22"/>
      <c r="H1" s="25">
        <v>3</v>
      </c>
    </row>
    <row r="2" spans="1:8" ht="22.5" customHeight="1" thickBot="1">
      <c r="A2" s="380" t="s">
        <v>8</v>
      </c>
      <c r="B2" s="380"/>
      <c r="C2" s="26"/>
      <c r="D2" s="27"/>
      <c r="E2" s="28"/>
      <c r="F2" s="29"/>
      <c r="G2" s="30"/>
      <c r="H2" s="31"/>
    </row>
    <row r="3" spans="1:8" ht="22.5" customHeight="1" thickBot="1">
      <c r="A3" s="381" t="s">
        <v>64</v>
      </c>
      <c r="B3" s="382"/>
      <c r="C3" s="383"/>
      <c r="D3" s="146" t="s">
        <v>2</v>
      </c>
      <c r="E3" s="148" t="s">
        <v>3</v>
      </c>
      <c r="F3" s="149" t="s">
        <v>4</v>
      </c>
      <c r="G3" s="148" t="s">
        <v>5</v>
      </c>
      <c r="H3" s="147" t="s">
        <v>6</v>
      </c>
    </row>
    <row r="4" spans="1:8" ht="22.5" customHeight="1">
      <c r="A4" s="302">
        <v>1</v>
      </c>
      <c r="B4" s="303"/>
      <c r="C4" s="304"/>
      <c r="D4" s="305"/>
      <c r="E4" s="306"/>
      <c r="F4" s="306"/>
      <c r="G4" s="307"/>
      <c r="H4" s="308"/>
    </row>
    <row r="5" spans="1:8" ht="22.5" customHeight="1">
      <c r="A5" s="102">
        <v>2</v>
      </c>
      <c r="B5" s="121"/>
      <c r="C5" s="254"/>
      <c r="D5" s="119"/>
      <c r="E5" s="120"/>
      <c r="F5" s="120"/>
      <c r="G5" s="188"/>
      <c r="H5" s="171"/>
    </row>
    <row r="6" spans="1:8" ht="22.5" customHeight="1">
      <c r="A6" s="102">
        <v>3</v>
      </c>
      <c r="B6" s="121"/>
      <c r="C6" s="254"/>
      <c r="D6" s="119"/>
      <c r="E6" s="120"/>
      <c r="F6" s="120"/>
      <c r="G6" s="188"/>
      <c r="H6" s="201"/>
    </row>
    <row r="7" spans="1:8" ht="22.5" customHeight="1">
      <c r="A7" s="103">
        <v>4</v>
      </c>
      <c r="B7" s="125"/>
      <c r="C7" s="265"/>
      <c r="D7" s="119"/>
      <c r="E7" s="120"/>
      <c r="F7" s="186"/>
      <c r="G7" s="191"/>
      <c r="H7" s="104"/>
    </row>
    <row r="8" spans="1:8" ht="22.5" customHeight="1">
      <c r="A8" s="103">
        <v>5</v>
      </c>
      <c r="B8" s="125"/>
      <c r="C8" s="266"/>
      <c r="D8" s="119"/>
      <c r="E8" s="120"/>
      <c r="F8" s="186"/>
      <c r="G8" s="188"/>
      <c r="H8" s="264"/>
    </row>
    <row r="9" spans="1:8" ht="22.5" customHeight="1">
      <c r="A9" s="103" t="str">
        <f>IF(B9&lt;&gt;"", "6", "")</f>
        <v/>
      </c>
      <c r="B9" s="125"/>
      <c r="C9" s="47"/>
      <c r="D9" s="50"/>
      <c r="E9" s="48"/>
      <c r="F9" s="187"/>
      <c r="G9" s="188"/>
      <c r="H9" s="104"/>
    </row>
    <row r="10" spans="1:8" ht="22.5" customHeight="1">
      <c r="A10" s="103" t="str">
        <f>IF(B10&lt;&gt;"", "7", "")</f>
        <v/>
      </c>
      <c r="B10" s="125"/>
      <c r="C10" s="47"/>
      <c r="D10" s="50"/>
      <c r="E10" s="48"/>
      <c r="F10" s="17"/>
      <c r="G10" s="189"/>
      <c r="H10" s="104"/>
    </row>
    <row r="11" spans="1:8" ht="22.5" customHeight="1">
      <c r="A11" s="103" t="str">
        <f>IF(B11&lt;&gt;"", "8", "")</f>
        <v/>
      </c>
      <c r="B11" s="125"/>
      <c r="C11" s="47"/>
      <c r="D11" s="50"/>
      <c r="E11" s="48"/>
      <c r="F11" s="17"/>
      <c r="G11" s="189"/>
      <c r="H11" s="104"/>
    </row>
    <row r="12" spans="1:8" ht="22.5" customHeight="1">
      <c r="A12" s="103" t="str">
        <f>IF(B12&lt;&gt;"", "9", "")</f>
        <v/>
      </c>
      <c r="B12" s="125"/>
      <c r="C12" s="47"/>
      <c r="D12" s="50" t="str">
        <f t="shared" ref="D10:D12" si="0">IF(G12&lt;&gt;"", "1.0", "")</f>
        <v/>
      </c>
      <c r="E12" s="48" t="str">
        <f t="shared" ref="E9:E12" si="1">IF(B12&lt;&gt;"", "式", "")</f>
        <v/>
      </c>
      <c r="F12" s="17"/>
      <c r="G12" s="189"/>
      <c r="H12" s="104"/>
    </row>
    <row r="13" spans="1:8" ht="22.5" customHeight="1">
      <c r="A13" s="105"/>
      <c r="B13" s="32"/>
      <c r="C13" s="33"/>
      <c r="D13" s="34"/>
      <c r="E13" s="35"/>
      <c r="F13" s="36"/>
      <c r="G13" s="189"/>
      <c r="H13" s="106"/>
    </row>
    <row r="14" spans="1:8" ht="22.5" customHeight="1">
      <c r="A14" s="211"/>
      <c r="B14" s="212"/>
      <c r="C14" s="213"/>
      <c r="D14" s="214"/>
      <c r="E14" s="215"/>
      <c r="F14" s="216"/>
      <c r="G14" s="217"/>
      <c r="H14" s="218"/>
    </row>
    <row r="15" spans="1:8" ht="22.5" customHeight="1">
      <c r="A15" s="233"/>
      <c r="B15" s="32"/>
      <c r="C15" s="33"/>
      <c r="D15" s="34"/>
      <c r="E15" s="219"/>
      <c r="F15" s="220"/>
      <c r="G15" s="189"/>
      <c r="H15" s="108"/>
    </row>
    <row r="16" spans="1:8" ht="22.5" customHeight="1">
      <c r="A16" s="234"/>
      <c r="B16" s="237"/>
      <c r="C16" s="221"/>
      <c r="D16" s="35"/>
      <c r="E16" s="219"/>
      <c r="F16" s="222"/>
      <c r="G16" s="219"/>
      <c r="H16" s="223"/>
    </row>
    <row r="17" spans="1:8" ht="22.5" customHeight="1">
      <c r="A17" s="235"/>
      <c r="B17" s="238"/>
      <c r="C17" s="225"/>
      <c r="D17" s="35"/>
      <c r="E17" s="219"/>
      <c r="F17" s="222"/>
      <c r="G17" s="226"/>
      <c r="H17" s="227"/>
    </row>
    <row r="18" spans="1:8" ht="22.5" customHeight="1">
      <c r="A18" s="145"/>
      <c r="B18" s="126"/>
      <c r="C18" s="236"/>
      <c r="D18" s="239"/>
      <c r="E18" s="240"/>
      <c r="F18" s="17"/>
      <c r="G18" s="18"/>
      <c r="H18" s="176"/>
    </row>
    <row r="19" spans="1:8" ht="22.5" customHeight="1">
      <c r="A19" s="107"/>
      <c r="B19" s="32"/>
      <c r="C19" s="32"/>
      <c r="D19" s="50"/>
      <c r="E19" s="48"/>
      <c r="F19" s="38"/>
      <c r="G19" s="17"/>
      <c r="H19" s="175"/>
    </row>
    <row r="20" spans="1:8" ht="22.5" customHeight="1">
      <c r="A20" s="107"/>
      <c r="B20" s="32"/>
      <c r="C20" s="32"/>
      <c r="D20" s="50"/>
      <c r="E20" s="48" t="str">
        <f t="shared" ref="E20" si="2">IF(G20&lt;&gt;"", "式", "")</f>
        <v/>
      </c>
      <c r="F20" s="38"/>
      <c r="G20" s="17"/>
      <c r="H20" s="175"/>
    </row>
    <row r="21" spans="1:8" ht="22.5" customHeight="1">
      <c r="A21" s="107"/>
      <c r="B21" s="32"/>
      <c r="C21" s="32"/>
      <c r="D21" s="50"/>
      <c r="E21" s="48"/>
      <c r="F21" s="38"/>
      <c r="G21" s="17"/>
      <c r="H21" s="224"/>
    </row>
    <row r="22" spans="1:8" ht="22.5" customHeight="1" thickBot="1">
      <c r="A22" s="309" t="str">
        <f>IF(B22&lt;&gt;"", "5", "")</f>
        <v/>
      </c>
      <c r="B22" s="310"/>
      <c r="C22" s="311"/>
      <c r="D22" s="312" t="str">
        <f t="shared" ref="D22" si="3">IF(G22&lt;&gt;"", "1.0", "")</f>
        <v/>
      </c>
      <c r="E22" s="313" t="str">
        <f t="shared" ref="E22" si="4">IF(B22&lt;&gt;"", "式", "")</f>
        <v/>
      </c>
      <c r="F22" s="314"/>
      <c r="G22" s="314"/>
      <c r="H22" s="315"/>
    </row>
    <row r="23" spans="1:8" ht="22.5" customHeight="1">
      <c r="A23" s="337"/>
      <c r="B23" s="339"/>
      <c r="C23" s="339"/>
      <c r="D23" s="340"/>
      <c r="E23" s="336"/>
      <c r="F23" s="341" t="s">
        <v>69</v>
      </c>
      <c r="G23" s="301">
        <f>SUM(G4:G22)</f>
        <v>0</v>
      </c>
      <c r="H23" s="106"/>
    </row>
    <row r="24" spans="1:8" ht="22.5" customHeight="1">
      <c r="A24" s="338"/>
      <c r="B24" s="39"/>
      <c r="C24" s="39"/>
      <c r="D24" s="40"/>
      <c r="E24" s="37"/>
      <c r="F24" s="342" t="s">
        <v>70</v>
      </c>
      <c r="G24" s="51">
        <f>G23*0.1</f>
        <v>0</v>
      </c>
      <c r="H24" s="168">
        <v>0.1</v>
      </c>
    </row>
    <row r="25" spans="1:8" ht="22.5" customHeight="1" thickBot="1">
      <c r="A25" s="109"/>
      <c r="B25" s="110"/>
      <c r="C25" s="345"/>
      <c r="D25" s="347"/>
      <c r="E25" s="298"/>
      <c r="F25" s="343" t="s">
        <v>7</v>
      </c>
      <c r="G25" s="111">
        <f>G23+G24</f>
        <v>0</v>
      </c>
      <c r="H25" s="112"/>
    </row>
    <row r="26" spans="1:8" ht="22.5" customHeight="1">
      <c r="A26" s="10"/>
      <c r="B26" s="10"/>
      <c r="C26" s="10"/>
      <c r="D26" s="11"/>
      <c r="E26" s="12"/>
      <c r="F26" s="13"/>
      <c r="G26" s="14"/>
      <c r="H26" s="127"/>
    </row>
    <row r="27" spans="1:8" ht="22.5" customHeight="1">
      <c r="A27" s="10"/>
      <c r="B27" s="10"/>
      <c r="C27" s="10"/>
      <c r="D27" s="11"/>
      <c r="E27" s="12"/>
      <c r="F27" s="13"/>
      <c r="G27" s="14"/>
      <c r="H27" s="128"/>
    </row>
    <row r="28" spans="1:8" ht="22.5" customHeight="1">
      <c r="A28" s="10"/>
      <c r="B28" s="41"/>
      <c r="C28" s="12"/>
      <c r="D28" s="42"/>
      <c r="E28" s="43"/>
      <c r="F28" s="44"/>
      <c r="G28" s="45"/>
      <c r="H28" s="15"/>
    </row>
    <row r="29" spans="1:8" ht="26.25" customHeight="1">
      <c r="A29" s="10"/>
      <c r="B29" s="10"/>
      <c r="C29" s="10"/>
      <c r="D29" s="11"/>
      <c r="E29" s="12"/>
      <c r="F29" s="13"/>
      <c r="G29" s="14"/>
      <c r="H29" s="15"/>
    </row>
    <row r="30" spans="1:8" ht="26.25" customHeight="1">
      <c r="A30" s="10"/>
      <c r="B30" s="16"/>
      <c r="C30" s="10"/>
      <c r="D30" s="11"/>
      <c r="E30" s="12"/>
      <c r="F30" s="13"/>
      <c r="G30" s="14"/>
      <c r="H30" s="15"/>
    </row>
    <row r="31" spans="1:8" ht="26.25" customHeight="1">
      <c r="A31" s="10"/>
      <c r="B31" s="10"/>
      <c r="C31" s="10"/>
      <c r="D31" s="11"/>
      <c r="E31" s="12"/>
      <c r="F31" s="13"/>
      <c r="G31" s="14"/>
      <c r="H31" s="15"/>
    </row>
  </sheetData>
  <mergeCells count="2">
    <mergeCell ref="A2:B2"/>
    <mergeCell ref="A3:C3"/>
  </mergeCells>
  <phoneticPr fontId="1"/>
  <pageMargins left="0.43307086614173229" right="0.31496062992125984" top="0.59055118110236227" bottom="0.19685039370078741" header="0" footer="0"/>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F598-8D8E-42E9-BCBC-EA42DCCF0F2C}">
  <sheetPr codeName="Sheet7"/>
  <dimension ref="A1:H31"/>
  <sheetViews>
    <sheetView view="pageBreakPreview" zoomScaleNormal="100" zoomScaleSheetLayoutView="100" workbookViewId="0">
      <selection activeCell="C24" sqref="C24"/>
    </sheetView>
  </sheetViews>
  <sheetFormatPr defaultRowHeight="13.5"/>
  <cols>
    <col min="1" max="1" width="5" style="117" customWidth="1"/>
    <col min="2" max="2" width="35" style="117" customWidth="1"/>
    <col min="3" max="3" width="30.625" style="117" customWidth="1"/>
    <col min="4" max="4" width="10.5" style="117" customWidth="1"/>
    <col min="5" max="5" width="9" style="117" customWidth="1"/>
    <col min="6" max="6" width="12.25" style="124" customWidth="1"/>
    <col min="7" max="7" width="12.25" style="117" customWidth="1"/>
    <col min="8" max="8" width="25.625" style="117" customWidth="1"/>
    <col min="9" max="16384" width="9" style="117"/>
  </cols>
  <sheetData>
    <row r="1" spans="1:8" ht="22.5" customHeight="1">
      <c r="A1" s="22"/>
      <c r="B1" s="22"/>
      <c r="C1" s="23" t="s">
        <v>0</v>
      </c>
      <c r="D1" s="23"/>
      <c r="E1" s="22"/>
      <c r="F1" s="24"/>
      <c r="G1" s="22"/>
      <c r="H1" s="25">
        <v>4</v>
      </c>
    </row>
    <row r="2" spans="1:8" ht="22.5" customHeight="1" thickBot="1">
      <c r="A2" s="380" t="s">
        <v>55</v>
      </c>
      <c r="B2" s="380"/>
      <c r="C2" s="26"/>
      <c r="D2" s="27"/>
      <c r="E2" s="28"/>
      <c r="F2" s="29"/>
      <c r="G2" s="30"/>
      <c r="H2" s="31"/>
    </row>
    <row r="3" spans="1:8" ht="22.5" customHeight="1" thickBot="1">
      <c r="A3" s="381" t="s">
        <v>65</v>
      </c>
      <c r="B3" s="382"/>
      <c r="C3" s="383"/>
      <c r="D3" s="146" t="s">
        <v>2</v>
      </c>
      <c r="E3" s="148" t="s">
        <v>3</v>
      </c>
      <c r="F3" s="149" t="s">
        <v>4</v>
      </c>
      <c r="G3" s="148" t="s">
        <v>5</v>
      </c>
      <c r="H3" s="147" t="s">
        <v>6</v>
      </c>
    </row>
    <row r="4" spans="1:8" ht="22.5" customHeight="1">
      <c r="A4" s="102"/>
      <c r="B4" s="121"/>
      <c r="C4" s="129"/>
      <c r="D4" s="119"/>
      <c r="E4" s="120"/>
      <c r="F4" s="120"/>
      <c r="G4" s="188"/>
      <c r="H4" s="171"/>
    </row>
    <row r="5" spans="1:8" ht="22.5" customHeight="1">
      <c r="A5" s="102"/>
      <c r="B5" s="121"/>
      <c r="C5" s="177"/>
      <c r="D5" s="119"/>
      <c r="E5" s="120"/>
      <c r="F5" s="120"/>
      <c r="G5" s="188"/>
      <c r="H5" s="171"/>
    </row>
    <row r="6" spans="1:8" ht="22.5" customHeight="1">
      <c r="A6" s="102"/>
      <c r="B6" s="121"/>
      <c r="C6" s="177"/>
      <c r="D6" s="119"/>
      <c r="E6" s="120"/>
      <c r="F6" s="120"/>
      <c r="G6" s="188"/>
      <c r="H6" s="171"/>
    </row>
    <row r="7" spans="1:8" ht="22.5" customHeight="1">
      <c r="A7" s="103"/>
      <c r="B7" s="125"/>
      <c r="C7" s="185"/>
      <c r="D7" s="119"/>
      <c r="E7" s="120"/>
      <c r="F7" s="186"/>
      <c r="G7" s="191"/>
      <c r="H7" s="104"/>
    </row>
    <row r="8" spans="1:8" ht="22.5" customHeight="1">
      <c r="A8" s="103"/>
      <c r="B8" s="125"/>
      <c r="C8" s="49"/>
      <c r="D8" s="119"/>
      <c r="E8" s="120"/>
      <c r="F8" s="186"/>
      <c r="G8" s="188"/>
      <c r="H8" s="104"/>
    </row>
    <row r="9" spans="1:8" ht="22.5" customHeight="1">
      <c r="A9" s="103" t="str">
        <f>IF(B9&lt;&gt;"", "6", "")</f>
        <v/>
      </c>
      <c r="B9" s="125"/>
      <c r="C9" s="47"/>
      <c r="D9" s="50"/>
      <c r="E9" s="48" t="str">
        <f t="shared" ref="E9:E12" si="0">IF(B9&lt;&gt;"", "式", "")</f>
        <v/>
      </c>
      <c r="F9" s="187"/>
      <c r="G9" s="188"/>
      <c r="H9" s="104"/>
    </row>
    <row r="10" spans="1:8" ht="22.5" customHeight="1">
      <c r="A10" s="103" t="str">
        <f>IF(B10&lt;&gt;"", "7", "")</f>
        <v/>
      </c>
      <c r="B10" s="125"/>
      <c r="C10" s="47"/>
      <c r="D10" s="50" t="str">
        <f t="shared" ref="D10:D12" si="1">IF(G10&lt;&gt;"", "1.0", "")</f>
        <v/>
      </c>
      <c r="E10" s="48" t="str">
        <f t="shared" si="0"/>
        <v/>
      </c>
      <c r="F10" s="17"/>
      <c r="G10" s="189"/>
      <c r="H10" s="104"/>
    </row>
    <row r="11" spans="1:8" ht="22.5" customHeight="1">
      <c r="A11" s="103" t="str">
        <f>IF(B11&lt;&gt;"", "8", "")</f>
        <v/>
      </c>
      <c r="B11" s="125"/>
      <c r="C11" s="47"/>
      <c r="D11" s="50" t="str">
        <f t="shared" si="1"/>
        <v/>
      </c>
      <c r="E11" s="48" t="str">
        <f t="shared" si="0"/>
        <v/>
      </c>
      <c r="F11" s="17"/>
      <c r="G11" s="189"/>
      <c r="H11" s="104"/>
    </row>
    <row r="12" spans="1:8" ht="22.5" customHeight="1">
      <c r="A12" s="103" t="str">
        <f>IF(B12&lt;&gt;"", "9", "")</f>
        <v/>
      </c>
      <c r="B12" s="125"/>
      <c r="C12" s="47"/>
      <c r="D12" s="50" t="str">
        <f t="shared" si="1"/>
        <v/>
      </c>
      <c r="E12" s="48" t="str">
        <f t="shared" si="0"/>
        <v/>
      </c>
      <c r="F12" s="17"/>
      <c r="G12" s="189"/>
      <c r="H12" s="104"/>
    </row>
    <row r="13" spans="1:8" ht="22.5" customHeight="1">
      <c r="A13" s="105"/>
      <c r="B13" s="32"/>
      <c r="C13" s="33"/>
      <c r="D13" s="34"/>
      <c r="E13" s="35"/>
      <c r="F13" s="36"/>
      <c r="G13" s="189"/>
      <c r="H13" s="106"/>
    </row>
    <row r="14" spans="1:8" ht="22.5" customHeight="1">
      <c r="A14" s="211"/>
      <c r="B14" s="212"/>
      <c r="C14" s="213"/>
      <c r="D14" s="214"/>
      <c r="E14" s="215"/>
      <c r="F14" s="216"/>
      <c r="G14" s="217"/>
      <c r="H14" s="218"/>
    </row>
    <row r="15" spans="1:8" ht="22.5" customHeight="1">
      <c r="A15" s="145"/>
      <c r="B15" s="126"/>
      <c r="C15" s="46"/>
      <c r="D15" s="136"/>
      <c r="E15" s="137"/>
      <c r="F15" s="18"/>
      <c r="G15" s="18"/>
      <c r="H15" s="176"/>
    </row>
    <row r="16" spans="1:8" ht="22.5" customHeight="1">
      <c r="A16" s="107"/>
      <c r="B16" s="32"/>
      <c r="C16" s="32"/>
      <c r="D16" s="50"/>
      <c r="E16" s="48"/>
      <c r="F16" s="38"/>
      <c r="G16" s="17"/>
      <c r="H16" s="175"/>
    </row>
    <row r="17" spans="1:8" ht="22.5" customHeight="1">
      <c r="A17" s="107"/>
      <c r="B17" s="32"/>
      <c r="C17" s="32"/>
      <c r="D17" s="50"/>
      <c r="E17" s="48" t="str">
        <f t="shared" ref="E17" si="2">IF(G17&lt;&gt;"", "式", "")</f>
        <v/>
      </c>
      <c r="F17" s="38"/>
      <c r="G17" s="17"/>
      <c r="H17" s="175"/>
    </row>
    <row r="18" spans="1:8" ht="22.5" customHeight="1">
      <c r="A18" s="107"/>
      <c r="B18" s="32"/>
      <c r="C18" s="32"/>
      <c r="D18" s="50"/>
      <c r="E18" s="48"/>
      <c r="F18" s="38"/>
      <c r="G18" s="17"/>
      <c r="H18" s="178"/>
    </row>
    <row r="19" spans="1:8" ht="22.5" customHeight="1">
      <c r="A19" s="107"/>
      <c r="B19" s="32"/>
      <c r="C19" s="32"/>
      <c r="D19" s="50"/>
      <c r="E19" s="48"/>
      <c r="F19" s="38"/>
      <c r="G19" s="17"/>
      <c r="H19" s="224"/>
    </row>
    <row r="20" spans="1:8" ht="22.5" customHeight="1">
      <c r="A20" s="107"/>
      <c r="B20" s="32"/>
      <c r="C20" s="32"/>
      <c r="D20" s="50"/>
      <c r="E20" s="48"/>
      <c r="F20" s="38"/>
      <c r="G20" s="17"/>
      <c r="H20" s="224"/>
    </row>
    <row r="21" spans="1:8" ht="22.5" customHeight="1">
      <c r="A21" s="107"/>
      <c r="B21" s="32"/>
      <c r="C21" s="32"/>
      <c r="D21" s="50"/>
      <c r="E21" s="48"/>
      <c r="F21" s="38"/>
      <c r="G21" s="17"/>
      <c r="H21" s="224"/>
    </row>
    <row r="22" spans="1:8" ht="22.5" customHeight="1" thickBot="1">
      <c r="A22" s="309" t="str">
        <f>IF(B22&lt;&gt;"", "5", "")</f>
        <v/>
      </c>
      <c r="B22" s="310"/>
      <c r="C22" s="311"/>
      <c r="D22" s="312" t="str">
        <f t="shared" ref="D22" si="3">IF(G22&lt;&gt;"", "1.0", "")</f>
        <v/>
      </c>
      <c r="E22" s="313" t="str">
        <f t="shared" ref="E22" si="4">IF(B22&lt;&gt;"", "式", "")</f>
        <v/>
      </c>
      <c r="F22" s="314"/>
      <c r="G22" s="314"/>
      <c r="H22" s="315"/>
    </row>
    <row r="23" spans="1:8" ht="22.5" customHeight="1">
      <c r="A23" s="344"/>
      <c r="B23" s="26"/>
      <c r="C23" s="339"/>
      <c r="D23" s="340"/>
      <c r="E23" s="346"/>
      <c r="F23" s="348" t="s">
        <v>53</v>
      </c>
      <c r="G23" s="301">
        <f>SUM(G4:G22)</f>
        <v>0</v>
      </c>
      <c r="H23" s="106"/>
    </row>
    <row r="24" spans="1:8" ht="22.5" customHeight="1">
      <c r="A24" s="338"/>
      <c r="B24" s="39"/>
      <c r="C24" s="39"/>
      <c r="D24" s="40"/>
      <c r="E24" s="273"/>
      <c r="F24" s="349" t="s">
        <v>54</v>
      </c>
      <c r="G24" s="51">
        <f>G23*0.1</f>
        <v>0</v>
      </c>
      <c r="H24" s="168"/>
    </row>
    <row r="25" spans="1:8" ht="22.5" customHeight="1" thickBot="1">
      <c r="A25" s="109"/>
      <c r="B25" s="110"/>
      <c r="C25" s="345"/>
      <c r="D25" s="347"/>
      <c r="E25" s="296"/>
      <c r="F25" s="350" t="s">
        <v>7</v>
      </c>
      <c r="G25" s="111">
        <f>G23+G24</f>
        <v>0</v>
      </c>
      <c r="H25" s="112"/>
    </row>
    <row r="26" spans="1:8" ht="22.5" customHeight="1">
      <c r="A26" s="10"/>
      <c r="B26" s="10"/>
      <c r="C26" s="10"/>
      <c r="D26" s="11"/>
      <c r="E26" s="12"/>
      <c r="F26" s="13"/>
      <c r="G26" s="14"/>
      <c r="H26" s="127"/>
    </row>
    <row r="27" spans="1:8" ht="22.5" customHeight="1">
      <c r="A27" s="10"/>
      <c r="B27" s="10"/>
      <c r="C27" s="10"/>
      <c r="D27" s="11"/>
      <c r="E27" s="12"/>
      <c r="F27" s="13"/>
      <c r="G27" s="14"/>
      <c r="H27" s="128"/>
    </row>
    <row r="28" spans="1:8" ht="22.5" customHeight="1">
      <c r="A28" s="10"/>
      <c r="B28" s="41"/>
      <c r="C28" s="12"/>
      <c r="D28" s="42"/>
      <c r="E28" s="43"/>
      <c r="F28" s="44"/>
      <c r="G28" s="45"/>
      <c r="H28" s="15"/>
    </row>
    <row r="29" spans="1:8" ht="26.25" customHeight="1">
      <c r="A29" s="10"/>
      <c r="B29" s="10"/>
      <c r="C29" s="10"/>
      <c r="D29" s="11"/>
      <c r="E29" s="12"/>
      <c r="F29" s="13"/>
      <c r="G29" s="14"/>
      <c r="H29" s="15"/>
    </row>
    <row r="30" spans="1:8" ht="26.25" customHeight="1">
      <c r="A30" s="10"/>
      <c r="B30" s="16"/>
      <c r="C30" s="10"/>
      <c r="D30" s="11"/>
      <c r="E30" s="12"/>
      <c r="F30" s="13"/>
      <c r="G30" s="14"/>
      <c r="H30" s="15"/>
    </row>
    <row r="31" spans="1:8" ht="26.25" customHeight="1">
      <c r="A31" s="10"/>
      <c r="B31" s="10"/>
      <c r="C31" s="10"/>
      <c r="D31" s="11"/>
      <c r="E31" s="12"/>
      <c r="F31" s="13"/>
      <c r="G31" s="14"/>
      <c r="H31" s="15"/>
    </row>
  </sheetData>
  <mergeCells count="2">
    <mergeCell ref="A2:B2"/>
    <mergeCell ref="A3:C3"/>
  </mergeCells>
  <phoneticPr fontId="1"/>
  <pageMargins left="0.43307086614173229" right="0.31496062992125984" top="0.59055118110236227" bottom="0.19685039370078741" header="0" footer="0"/>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3175C-A2EF-4163-91F5-269B1CFFDE36}">
  <sheetPr codeName="Sheet8"/>
  <dimension ref="A1:I32"/>
  <sheetViews>
    <sheetView view="pageBreakPreview" topLeftCell="A6" zoomScaleNormal="100" zoomScaleSheetLayoutView="100" workbookViewId="0">
      <selection activeCell="B9" sqref="B9:K12"/>
    </sheetView>
  </sheetViews>
  <sheetFormatPr defaultRowHeight="13.5"/>
  <cols>
    <col min="1" max="1" width="4.125" style="117" customWidth="1"/>
    <col min="2" max="2" width="35" style="117" customWidth="1"/>
    <col min="3" max="3" width="2.25" style="117" customWidth="1"/>
    <col min="4" max="4" width="30.625" style="117" customWidth="1"/>
    <col min="5" max="5" width="10.5" style="117" customWidth="1"/>
    <col min="6" max="6" width="9" style="117" customWidth="1"/>
    <col min="7" max="7" width="12.25" style="124" customWidth="1"/>
    <col min="8" max="8" width="12.25" style="117" customWidth="1"/>
    <col min="9" max="9" width="25.625" style="117" customWidth="1"/>
    <col min="10" max="16384" width="9" style="117"/>
  </cols>
  <sheetData>
    <row r="1" spans="1:9" ht="22.5" customHeight="1">
      <c r="I1" s="25">
        <v>4</v>
      </c>
    </row>
    <row r="2" spans="1:9" ht="22.5" customHeight="1" thickBot="1">
      <c r="I2" s="25"/>
    </row>
    <row r="3" spans="1:9" ht="14.25" customHeight="1">
      <c r="A3" s="407" t="s">
        <v>66</v>
      </c>
      <c r="B3" s="407"/>
      <c r="D3" s="386" t="s">
        <v>73</v>
      </c>
      <c r="E3" s="387"/>
      <c r="F3" s="387"/>
      <c r="G3" s="387"/>
      <c r="H3" s="387"/>
      <c r="I3" s="388"/>
    </row>
    <row r="4" spans="1:9" ht="22.5" customHeight="1" thickBot="1">
      <c r="A4" s="408"/>
      <c r="B4" s="408"/>
      <c r="C4" s="270"/>
      <c r="D4" s="389"/>
      <c r="E4" s="390"/>
      <c r="F4" s="390"/>
      <c r="G4" s="390"/>
      <c r="H4" s="390"/>
      <c r="I4" s="391"/>
    </row>
    <row r="5" spans="1:9" ht="22.5" customHeight="1">
      <c r="A5" s="276"/>
      <c r="B5" s="276"/>
      <c r="C5" s="270"/>
      <c r="D5" s="389"/>
      <c r="E5" s="390"/>
      <c r="F5" s="390"/>
      <c r="G5" s="390"/>
      <c r="H5" s="390"/>
      <c r="I5" s="391"/>
    </row>
    <row r="6" spans="1:9" ht="22.5" customHeight="1" thickBot="1">
      <c r="A6" s="276"/>
      <c r="B6" s="276"/>
      <c r="C6" s="270"/>
      <c r="D6" s="392"/>
      <c r="E6" s="393"/>
      <c r="F6" s="393"/>
      <c r="G6" s="393"/>
      <c r="H6" s="393"/>
      <c r="I6" s="394"/>
    </row>
    <row r="7" spans="1:9" ht="22.5" customHeight="1" thickBot="1">
      <c r="A7" s="413"/>
      <c r="B7" s="413"/>
      <c r="C7" s="228"/>
      <c r="D7" s="269"/>
      <c r="E7" s="229"/>
      <c r="F7" s="230"/>
      <c r="G7" s="231"/>
      <c r="H7" s="232"/>
      <c r="I7" s="31"/>
    </row>
    <row r="8" spans="1:9" ht="22.5" customHeight="1" thickBot="1">
      <c r="A8" s="277" t="s">
        <v>60</v>
      </c>
      <c r="B8" s="278"/>
      <c r="C8" s="409" t="s">
        <v>68</v>
      </c>
      <c r="D8" s="410"/>
      <c r="E8" s="146" t="s">
        <v>2</v>
      </c>
      <c r="F8" s="148" t="s">
        <v>3</v>
      </c>
      <c r="G8" s="149" t="s">
        <v>4</v>
      </c>
      <c r="H8" s="148" t="s">
        <v>5</v>
      </c>
      <c r="I8" s="147" t="s">
        <v>67</v>
      </c>
    </row>
    <row r="9" spans="1:9" ht="22.5" customHeight="1">
      <c r="A9" s="101">
        <v>1</v>
      </c>
      <c r="B9" s="118"/>
      <c r="C9" s="403"/>
      <c r="D9" s="404"/>
      <c r="E9" s="119"/>
      <c r="F9" s="120"/>
      <c r="G9" s="120"/>
      <c r="H9" s="267"/>
      <c r="I9" s="202"/>
    </row>
    <row r="10" spans="1:9" ht="22.5" customHeight="1">
      <c r="A10" s="102">
        <v>2</v>
      </c>
      <c r="B10" s="121"/>
      <c r="C10" s="405"/>
      <c r="D10" s="406"/>
      <c r="E10" s="119"/>
      <c r="F10" s="120"/>
      <c r="G10" s="120"/>
      <c r="H10" s="188"/>
      <c r="I10" s="268"/>
    </row>
    <row r="11" spans="1:9" ht="22.5" customHeight="1">
      <c r="A11" s="102">
        <v>3</v>
      </c>
      <c r="B11" s="121"/>
      <c r="C11" s="405"/>
      <c r="D11" s="406"/>
      <c r="E11" s="119"/>
      <c r="F11" s="120"/>
      <c r="G11" s="120"/>
      <c r="H11" s="188"/>
      <c r="I11" s="268"/>
    </row>
    <row r="12" spans="1:9" ht="22.5" customHeight="1">
      <c r="A12" s="102"/>
      <c r="B12" s="121"/>
      <c r="C12" s="271"/>
      <c r="D12" s="272"/>
      <c r="E12" s="119"/>
      <c r="F12" s="120"/>
      <c r="G12" s="120"/>
      <c r="H12" s="188"/>
      <c r="I12" s="268"/>
    </row>
    <row r="13" spans="1:9" ht="22.5" customHeight="1">
      <c r="A13" s="102"/>
      <c r="B13" s="121"/>
      <c r="C13" s="395"/>
      <c r="D13" s="396"/>
      <c r="E13" s="119"/>
      <c r="F13" s="120"/>
      <c r="G13" s="120"/>
      <c r="H13" s="188"/>
      <c r="I13" s="171"/>
    </row>
    <row r="14" spans="1:9" ht="22.5" customHeight="1">
      <c r="A14" s="102"/>
      <c r="B14" s="121"/>
      <c r="C14" s="395"/>
      <c r="D14" s="396"/>
      <c r="E14" s="119"/>
      <c r="F14" s="120"/>
      <c r="G14" s="120"/>
      <c r="H14" s="188"/>
      <c r="I14" s="171"/>
    </row>
    <row r="15" spans="1:9" ht="22.5" customHeight="1">
      <c r="A15" s="102"/>
      <c r="B15" s="121"/>
      <c r="C15" s="395"/>
      <c r="D15" s="396"/>
      <c r="E15" s="197"/>
      <c r="F15" s="180"/>
      <c r="G15" s="180"/>
      <c r="H15" s="188"/>
      <c r="I15" s="171"/>
    </row>
    <row r="16" spans="1:9" ht="22.5" customHeight="1">
      <c r="A16" s="285"/>
      <c r="B16" s="286" t="s">
        <v>53</v>
      </c>
      <c r="C16" s="384"/>
      <c r="D16" s="385"/>
      <c r="E16" s="287"/>
      <c r="F16" s="288"/>
      <c r="G16" s="289"/>
      <c r="H16" s="290">
        <f>SUM(H9:H15)</f>
        <v>0</v>
      </c>
      <c r="I16" s="291" t="s">
        <v>56</v>
      </c>
    </row>
    <row r="17" spans="1:9" ht="22.5" customHeight="1">
      <c r="A17" s="279" t="s">
        <v>71</v>
      </c>
      <c r="B17" s="280"/>
      <c r="C17" s="397"/>
      <c r="D17" s="398"/>
      <c r="E17" s="281"/>
      <c r="F17" s="282"/>
      <c r="G17" s="282"/>
      <c r="H17" s="283"/>
      <c r="I17" s="284"/>
    </row>
    <row r="18" spans="1:9" ht="22.5" customHeight="1">
      <c r="A18" s="145"/>
      <c r="B18" s="126"/>
      <c r="C18" s="399"/>
      <c r="D18" s="400"/>
      <c r="E18" s="136"/>
      <c r="F18" s="137"/>
      <c r="G18" s="18"/>
      <c r="H18" s="18"/>
      <c r="I18" s="176"/>
    </row>
    <row r="19" spans="1:9" ht="22.5" customHeight="1">
      <c r="A19" s="107"/>
      <c r="B19" s="32"/>
      <c r="C19" s="401"/>
      <c r="D19" s="402"/>
      <c r="E19" s="50"/>
      <c r="F19" s="48"/>
      <c r="G19" s="38"/>
      <c r="H19" s="17"/>
      <c r="I19" s="175"/>
    </row>
    <row r="20" spans="1:9" ht="22.5" customHeight="1">
      <c r="A20" s="103"/>
      <c r="B20" s="32"/>
      <c r="C20" s="401"/>
      <c r="D20" s="402"/>
      <c r="E20" s="50"/>
      <c r="F20" s="48"/>
      <c r="G20" s="38"/>
      <c r="H20" s="17"/>
      <c r="I20" s="175"/>
    </row>
    <row r="21" spans="1:9" ht="22.5" customHeight="1">
      <c r="A21" s="103" t="str">
        <f>IF(B21&lt;&gt;"", "9", "")</f>
        <v/>
      </c>
      <c r="B21" s="125"/>
      <c r="C21" s="411"/>
      <c r="D21" s="412"/>
      <c r="E21" s="50" t="str">
        <f t="shared" ref="E21" si="0">IF(H21&lt;&gt;"", "1.0", "")</f>
        <v/>
      </c>
      <c r="F21" s="48" t="str">
        <f t="shared" ref="F21" si="1">IF(B21&lt;&gt;"", "式", "")</f>
        <v/>
      </c>
      <c r="G21" s="17"/>
      <c r="H21" s="189"/>
      <c r="I21" s="104"/>
    </row>
    <row r="22" spans="1:9" ht="22.5" customHeight="1">
      <c r="A22" s="294"/>
      <c r="B22" s="125"/>
      <c r="C22" s="274"/>
      <c r="D22" s="275"/>
      <c r="E22" s="50"/>
      <c r="F22" s="48"/>
      <c r="G22" s="205"/>
      <c r="H22" s="189"/>
      <c r="I22" s="295"/>
    </row>
    <row r="23" spans="1:9" ht="22.5" customHeight="1">
      <c r="A23" s="105"/>
      <c r="B23" s="32"/>
      <c r="C23" s="401"/>
      <c r="D23" s="402"/>
      <c r="E23" s="34"/>
      <c r="F23" s="35"/>
      <c r="G23" s="36"/>
      <c r="H23" s="189"/>
      <c r="I23" s="106"/>
    </row>
    <row r="24" spans="1:9" ht="22.5" customHeight="1">
      <c r="A24" s="285"/>
      <c r="B24" s="286" t="s">
        <v>53</v>
      </c>
      <c r="C24" s="384"/>
      <c r="D24" s="385"/>
      <c r="E24" s="287"/>
      <c r="F24" s="288"/>
      <c r="G24" s="289"/>
      <c r="H24" s="290"/>
      <c r="I24" s="292" t="s">
        <v>61</v>
      </c>
    </row>
    <row r="25" spans="1:9" ht="22.5" customHeight="1">
      <c r="A25" s="138"/>
      <c r="B25" s="139"/>
      <c r="C25" s="139"/>
      <c r="D25" s="140"/>
      <c r="E25" s="141"/>
      <c r="F25" s="142"/>
      <c r="G25" s="143"/>
      <c r="H25" s="190"/>
      <c r="I25" s="144"/>
    </row>
    <row r="26" spans="1:9" ht="22.5" customHeight="1" thickBot="1">
      <c r="A26" s="242"/>
      <c r="B26" s="243"/>
      <c r="C26" s="243"/>
      <c r="D26" s="244"/>
      <c r="E26" s="293"/>
      <c r="F26" s="293" t="s">
        <v>62</v>
      </c>
      <c r="G26" s="245" t="s">
        <v>7</v>
      </c>
      <c r="H26" s="246">
        <f>H16+H24</f>
        <v>0</v>
      </c>
      <c r="I26" s="247"/>
    </row>
    <row r="27" spans="1:9" ht="22.5" customHeight="1">
      <c r="A27" s="10"/>
      <c r="B27" s="10"/>
      <c r="C27" s="10"/>
      <c r="D27" s="10"/>
      <c r="E27" s="11"/>
      <c r="F27" s="12"/>
      <c r="G27" s="13"/>
      <c r="H27" s="14"/>
      <c r="I27" s="127"/>
    </row>
    <row r="28" spans="1:9" ht="22.5" customHeight="1">
      <c r="A28" s="10"/>
      <c r="B28" s="10"/>
      <c r="C28" s="10"/>
      <c r="D28" s="10"/>
      <c r="E28" s="11"/>
      <c r="F28" s="12"/>
      <c r="G28" s="13"/>
      <c r="H28" s="14"/>
      <c r="I28" s="128"/>
    </row>
    <row r="29" spans="1:9" ht="22.5" customHeight="1">
      <c r="A29" s="10"/>
      <c r="B29" s="41"/>
      <c r="C29" s="41"/>
      <c r="D29" s="12"/>
      <c r="E29" s="42"/>
      <c r="F29" s="43"/>
      <c r="G29" s="44"/>
      <c r="H29" s="45"/>
      <c r="I29" s="15"/>
    </row>
    <row r="30" spans="1:9" ht="26.25" customHeight="1">
      <c r="A30" s="10"/>
      <c r="B30" s="10"/>
      <c r="C30" s="10"/>
      <c r="D30" s="10"/>
      <c r="E30" s="11"/>
      <c r="F30" s="12"/>
      <c r="G30" s="13"/>
      <c r="H30" s="14"/>
      <c r="I30" s="15"/>
    </row>
    <row r="31" spans="1:9" ht="26.25" customHeight="1">
      <c r="A31" s="10"/>
      <c r="B31" s="16"/>
      <c r="C31" s="16"/>
      <c r="D31" s="10"/>
      <c r="E31" s="11"/>
      <c r="F31" s="12"/>
      <c r="G31" s="13"/>
      <c r="H31" s="14"/>
      <c r="I31" s="15"/>
    </row>
    <row r="32" spans="1:9" ht="26.25" customHeight="1">
      <c r="A32" s="10"/>
      <c r="B32" s="10"/>
      <c r="C32" s="10"/>
      <c r="D32" s="10"/>
      <c r="E32" s="11"/>
      <c r="F32" s="12"/>
      <c r="G32" s="13"/>
      <c r="H32" s="14"/>
      <c r="I32" s="15"/>
    </row>
  </sheetData>
  <mergeCells count="18">
    <mergeCell ref="A3:B4"/>
    <mergeCell ref="C8:D8"/>
    <mergeCell ref="C20:D20"/>
    <mergeCell ref="C21:D21"/>
    <mergeCell ref="C23:D23"/>
    <mergeCell ref="A7:B7"/>
    <mergeCell ref="C24:D24"/>
    <mergeCell ref="D3:I6"/>
    <mergeCell ref="C15:D15"/>
    <mergeCell ref="C16:D16"/>
    <mergeCell ref="C17:D17"/>
    <mergeCell ref="C18:D18"/>
    <mergeCell ref="C19:D19"/>
    <mergeCell ref="C9:D9"/>
    <mergeCell ref="C10:D10"/>
    <mergeCell ref="C11:D11"/>
    <mergeCell ref="C13:D13"/>
    <mergeCell ref="C14:D14"/>
  </mergeCells>
  <phoneticPr fontId="1"/>
  <pageMargins left="0.43307086614173229" right="0.31496062992125984" top="0.59055118110236227" bottom="0.19685039370078741" header="0" footer="0"/>
  <pageSetup paperSize="9"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29"/>
  <sheetViews>
    <sheetView tabSelected="1" view="pageBreakPreview" zoomScaleNormal="100" zoomScaleSheetLayoutView="100" workbookViewId="0">
      <selection activeCell="J20" sqref="J20"/>
    </sheetView>
  </sheetViews>
  <sheetFormatPr defaultColWidth="9" defaultRowHeight="20.100000000000001" customHeight="1"/>
  <cols>
    <col min="1" max="1" width="2.625" style="52" customWidth="1"/>
    <col min="2" max="3" width="6.125" style="52" customWidth="1"/>
    <col min="4" max="4" width="10.125" style="52" customWidth="1"/>
    <col min="5" max="5" width="4.125" style="52" customWidth="1"/>
    <col min="6" max="6" width="3" style="52" customWidth="1"/>
    <col min="7" max="7" width="4" style="52" customWidth="1"/>
    <col min="8" max="8" width="6.125" style="52" customWidth="1"/>
    <col min="9" max="9" width="2" style="52" customWidth="1"/>
    <col min="10" max="10" width="6.125" style="52" customWidth="1"/>
    <col min="11" max="11" width="3.625" style="52" customWidth="1"/>
    <col min="12" max="12" width="6.125" style="52" customWidth="1"/>
    <col min="13" max="13" width="9.25" style="52" customWidth="1"/>
    <col min="14" max="14" width="5.625" style="52" customWidth="1"/>
    <col min="15" max="15" width="8.5" style="52" customWidth="1"/>
    <col min="16" max="16" width="16.625" style="52" customWidth="1"/>
    <col min="17" max="17" width="19.75" style="52" customWidth="1"/>
    <col min="18" max="18" width="6.375" style="52" customWidth="1"/>
    <col min="19" max="19" width="6.5" style="52" customWidth="1"/>
    <col min="20" max="20" width="8.75" style="52" customWidth="1"/>
    <col min="21" max="21" width="0.25" style="52" customWidth="1"/>
    <col min="22" max="16384" width="9" style="52"/>
  </cols>
  <sheetData>
    <row r="1" spans="1:20" ht="20.100000000000001" customHeight="1">
      <c r="B1" s="100" t="s">
        <v>26</v>
      </c>
      <c r="C1" s="360" t="e">
        <f>#REF!</f>
        <v>#REF!</v>
      </c>
      <c r="D1" s="360"/>
      <c r="R1" s="374">
        <v>1</v>
      </c>
      <c r="S1" s="374"/>
      <c r="T1" s="374"/>
    </row>
    <row r="2" spans="1:20" ht="20.100000000000001" customHeight="1" thickBot="1">
      <c r="B2" s="98"/>
      <c r="C2" s="99"/>
      <c r="I2" s="53"/>
      <c r="J2" s="53"/>
      <c r="K2" s="53"/>
      <c r="L2" s="53"/>
      <c r="M2" s="53"/>
      <c r="N2" s="53"/>
      <c r="O2" s="53"/>
      <c r="P2" s="53"/>
      <c r="Q2" s="53"/>
      <c r="R2" s="54"/>
    </row>
    <row r="3" spans="1:20" ht="20.100000000000001" customHeight="1">
      <c r="B3" s="55"/>
      <c r="C3" s="96"/>
      <c r="D3" s="97"/>
      <c r="E3" s="56"/>
      <c r="F3" s="56"/>
      <c r="G3" s="56"/>
      <c r="H3" s="56"/>
      <c r="I3" s="57"/>
      <c r="J3" s="56"/>
      <c r="K3" s="56"/>
      <c r="L3" s="56"/>
      <c r="M3" s="56"/>
      <c r="N3" s="56"/>
      <c r="O3" s="56"/>
      <c r="P3" s="56"/>
      <c r="Q3" s="56"/>
      <c r="R3" s="130"/>
      <c r="S3" s="130"/>
      <c r="T3" s="131"/>
    </row>
    <row r="4" spans="1:20" ht="20.100000000000001" customHeight="1" thickBot="1">
      <c r="B4" s="58"/>
      <c r="I4" s="54"/>
      <c r="T4" s="59"/>
    </row>
    <row r="5" spans="1:20" ht="20.100000000000001" customHeight="1">
      <c r="A5" s="60"/>
      <c r="B5" s="61"/>
      <c r="C5" s="60"/>
      <c r="D5" s="95"/>
      <c r="E5" s="95"/>
      <c r="F5" s="60"/>
      <c r="G5" s="60"/>
      <c r="H5" s="60"/>
      <c r="I5" s="365" t="s">
        <v>34</v>
      </c>
      <c r="J5" s="366"/>
      <c r="K5" s="366"/>
      <c r="L5" s="366"/>
      <c r="M5" s="366"/>
      <c r="N5" s="366"/>
      <c r="O5" s="366"/>
      <c r="P5" s="367"/>
      <c r="Q5" s="60"/>
      <c r="R5" s="74"/>
      <c r="S5" s="154"/>
      <c r="T5" s="155"/>
    </row>
    <row r="6" spans="1:20" ht="20.100000000000001" customHeight="1">
      <c r="A6" s="60"/>
      <c r="B6" s="61"/>
      <c r="C6" s="60"/>
      <c r="D6" s="60"/>
      <c r="E6" s="60"/>
      <c r="F6" s="60"/>
      <c r="G6" s="60"/>
      <c r="H6" s="60"/>
      <c r="I6" s="368"/>
      <c r="J6" s="369"/>
      <c r="K6" s="369"/>
      <c r="L6" s="369"/>
      <c r="M6" s="369"/>
      <c r="N6" s="369"/>
      <c r="O6" s="369"/>
      <c r="P6" s="370"/>
      <c r="Q6" s="60"/>
      <c r="R6" s="361">
        <f ca="1">TODAY()</f>
        <v>45770</v>
      </c>
      <c r="S6" s="361"/>
      <c r="T6" s="362"/>
    </row>
    <row r="7" spans="1:20" ht="20.100000000000001" customHeight="1" thickBot="1">
      <c r="A7" s="62"/>
      <c r="B7" s="63"/>
      <c r="C7" s="62"/>
      <c r="D7" s="62"/>
      <c r="E7" s="62"/>
      <c r="F7" s="62"/>
      <c r="G7" s="62"/>
      <c r="H7" s="62"/>
      <c r="I7" s="371"/>
      <c r="J7" s="372"/>
      <c r="K7" s="372"/>
      <c r="L7" s="372"/>
      <c r="M7" s="372"/>
      <c r="N7" s="372"/>
      <c r="O7" s="372"/>
      <c r="P7" s="373"/>
      <c r="Q7" s="75"/>
      <c r="R7" s="76"/>
      <c r="T7" s="64"/>
    </row>
    <row r="8" spans="1:20" ht="21" customHeight="1">
      <c r="A8" s="62"/>
      <c r="B8" s="63"/>
      <c r="C8" s="62"/>
      <c r="D8" s="62"/>
      <c r="E8" s="62"/>
      <c r="F8" s="62"/>
      <c r="G8" s="62"/>
      <c r="H8" s="62"/>
      <c r="I8" s="60"/>
      <c r="J8" s="60"/>
      <c r="K8" s="60"/>
      <c r="L8" s="75"/>
      <c r="M8" s="75"/>
      <c r="N8" s="75"/>
      <c r="O8" s="75"/>
      <c r="P8" s="75"/>
      <c r="Q8" s="75"/>
      <c r="R8" s="77"/>
      <c r="S8" s="78"/>
      <c r="T8" s="65"/>
    </row>
    <row r="9" spans="1:20" ht="20.100000000000001" customHeight="1">
      <c r="A9" s="62"/>
      <c r="B9" s="63"/>
      <c r="C9" s="363">
        <f>見積書表紙!C9</f>
        <v>0</v>
      </c>
      <c r="D9" s="363"/>
      <c r="E9" s="363"/>
      <c r="F9" s="363"/>
      <c r="G9" s="363"/>
      <c r="H9" s="363"/>
      <c r="I9" s="363"/>
      <c r="J9" s="66" t="s">
        <v>10</v>
      </c>
      <c r="K9" s="79"/>
      <c r="L9" s="62"/>
      <c r="M9" s="62"/>
      <c r="N9" s="62"/>
      <c r="O9" s="62"/>
      <c r="P9" s="62"/>
      <c r="Q9" s="62"/>
      <c r="R9" s="62"/>
      <c r="S9" s="80"/>
      <c r="T9" s="67"/>
    </row>
    <row r="10" spans="1:20" ht="20.100000000000001" customHeight="1">
      <c r="A10" s="62"/>
      <c r="B10" s="63"/>
      <c r="C10" s="62"/>
      <c r="D10" s="62"/>
      <c r="E10" s="62"/>
      <c r="F10" s="62"/>
      <c r="G10" s="62"/>
      <c r="H10" s="62"/>
      <c r="I10" s="62"/>
      <c r="J10" s="62"/>
      <c r="K10" s="62"/>
      <c r="L10" s="62"/>
      <c r="M10" s="62"/>
      <c r="N10" s="62"/>
      <c r="O10" s="62"/>
      <c r="P10" s="62"/>
      <c r="Q10" s="62"/>
      <c r="R10" s="62"/>
      <c r="S10" s="80"/>
      <c r="T10" s="67"/>
    </row>
    <row r="11" spans="1:20" ht="20.100000000000001" customHeight="1">
      <c r="A11" s="62"/>
      <c r="B11" s="63"/>
      <c r="C11" s="81" t="s">
        <v>28</v>
      </c>
      <c r="D11" s="82"/>
      <c r="E11" s="82"/>
      <c r="F11" s="82"/>
      <c r="G11" s="82"/>
      <c r="H11" s="82"/>
      <c r="I11" s="62"/>
      <c r="J11" s="62"/>
      <c r="K11" s="62"/>
      <c r="L11" s="62"/>
      <c r="M11" s="62"/>
      <c r="N11" s="62"/>
      <c r="O11" s="62"/>
      <c r="P11" s="62"/>
      <c r="Q11" s="62"/>
      <c r="R11" s="62"/>
      <c r="S11" s="80"/>
      <c r="T11" s="67"/>
    </row>
    <row r="12" spans="1:20" ht="9.75" customHeight="1">
      <c r="A12" s="62"/>
      <c r="B12" s="63"/>
      <c r="C12" s="62"/>
      <c r="D12" s="62"/>
      <c r="E12" s="62"/>
      <c r="F12" s="62"/>
      <c r="G12" s="62"/>
      <c r="H12" s="62"/>
      <c r="I12" s="62"/>
      <c r="J12" s="62"/>
      <c r="K12" s="62"/>
      <c r="L12" s="62"/>
      <c r="M12" s="62"/>
      <c r="N12" s="62"/>
      <c r="O12" s="62"/>
      <c r="P12" s="62"/>
      <c r="Q12" s="62"/>
      <c r="R12" s="62"/>
      <c r="S12" s="80"/>
      <c r="T12" s="64"/>
    </row>
    <row r="13" spans="1:20" ht="18.75" customHeight="1">
      <c r="A13" s="62"/>
      <c r="B13" s="63"/>
      <c r="C13" s="62"/>
      <c r="D13" s="81" t="s">
        <v>12</v>
      </c>
      <c r="E13" s="62"/>
      <c r="F13" s="376">
        <f>見積書表紙!F13</f>
        <v>0</v>
      </c>
      <c r="G13" s="376"/>
      <c r="H13" s="376"/>
      <c r="I13" s="376"/>
      <c r="J13" s="376"/>
      <c r="K13" s="376"/>
      <c r="L13" s="376"/>
      <c r="M13" s="376"/>
      <c r="N13" s="376"/>
      <c r="O13" s="376"/>
      <c r="P13" s="376"/>
      <c r="Q13" s="83"/>
      <c r="R13" s="83"/>
      <c r="S13" s="83"/>
      <c r="T13" s="68"/>
    </row>
    <row r="14" spans="1:20" ht="14.25" customHeight="1">
      <c r="A14" s="62"/>
      <c r="B14" s="63"/>
      <c r="C14" s="62"/>
      <c r="D14" s="62"/>
      <c r="E14" s="62"/>
      <c r="F14" s="62"/>
      <c r="G14" s="62"/>
      <c r="H14" s="62"/>
      <c r="I14" s="62"/>
      <c r="J14" s="62"/>
      <c r="K14" s="62"/>
      <c r="L14" s="62"/>
      <c r="M14" s="62"/>
      <c r="N14" s="62"/>
      <c r="O14" s="62"/>
      <c r="P14" s="62"/>
      <c r="Q14" s="62"/>
      <c r="R14" s="62"/>
      <c r="S14" s="80"/>
      <c r="T14" s="67"/>
    </row>
    <row r="15" spans="1:20" ht="20.100000000000001" customHeight="1">
      <c r="A15" s="62"/>
      <c r="B15" s="63"/>
      <c r="C15" s="62"/>
      <c r="D15" s="62"/>
      <c r="E15" s="62"/>
      <c r="F15" s="375" t="s">
        <v>40</v>
      </c>
      <c r="G15" s="375"/>
      <c r="H15" s="375"/>
      <c r="I15" s="375"/>
      <c r="J15" s="375"/>
      <c r="K15" s="375"/>
      <c r="L15" s="375"/>
      <c r="M15" s="414">
        <f>見積書表紙!M15</f>
        <v>0</v>
      </c>
      <c r="N15" s="414"/>
      <c r="O15" s="414"/>
      <c r="P15" s="414"/>
      <c r="Q15" s="414"/>
      <c r="R15" s="62"/>
      <c r="S15" s="80"/>
      <c r="T15" s="64"/>
    </row>
    <row r="16" spans="1:20" ht="20.100000000000001" customHeight="1">
      <c r="A16" s="62"/>
      <c r="B16" s="63"/>
      <c r="C16" s="62"/>
      <c r="D16" s="62"/>
      <c r="E16" s="62"/>
      <c r="F16" s="375"/>
      <c r="G16" s="375"/>
      <c r="H16" s="375"/>
      <c r="I16" s="375"/>
      <c r="J16" s="375"/>
      <c r="K16" s="375"/>
      <c r="L16" s="375"/>
      <c r="M16" s="414"/>
      <c r="N16" s="414"/>
      <c r="O16" s="414"/>
      <c r="P16" s="414"/>
      <c r="Q16" s="414"/>
      <c r="R16" s="62"/>
      <c r="S16" s="80"/>
      <c r="T16" s="67"/>
    </row>
    <row r="17" spans="1:20" ht="20.100000000000001" customHeight="1">
      <c r="A17" s="62"/>
      <c r="B17" s="63"/>
      <c r="C17" s="62"/>
      <c r="D17" s="62"/>
      <c r="E17" s="62"/>
      <c r="F17" s="62"/>
      <c r="G17" s="62"/>
      <c r="H17" s="364" t="s">
        <v>14</v>
      </c>
      <c r="I17" s="364"/>
      <c r="J17" s="84" t="s">
        <v>38</v>
      </c>
      <c r="M17" s="62"/>
      <c r="N17" s="85"/>
      <c r="O17" s="86"/>
      <c r="P17" s="87" t="e">
        <f>明細!#REF!</f>
        <v>#REF!</v>
      </c>
      <c r="Q17" s="62"/>
      <c r="R17" s="62"/>
      <c r="S17" s="80"/>
      <c r="T17" s="64"/>
    </row>
    <row r="18" spans="1:20" ht="20.100000000000001" customHeight="1">
      <c r="A18" s="62"/>
      <c r="B18" s="63"/>
      <c r="C18" s="62"/>
      <c r="D18" s="62"/>
      <c r="E18" s="62"/>
      <c r="F18" s="62"/>
      <c r="G18" s="62"/>
      <c r="H18" s="62"/>
      <c r="I18" s="62"/>
      <c r="J18" s="84" t="s">
        <v>39</v>
      </c>
      <c r="K18" s="62"/>
      <c r="L18" s="84"/>
      <c r="M18" s="62"/>
      <c r="N18" s="85"/>
      <c r="O18" s="86"/>
      <c r="P18" s="87">
        <f>性能明細書!G25</f>
        <v>0</v>
      </c>
      <c r="Q18" s="62"/>
      <c r="R18" s="62"/>
      <c r="S18" s="80"/>
      <c r="T18" s="67"/>
    </row>
    <row r="19" spans="1:20" ht="20.100000000000001" customHeight="1">
      <c r="A19" s="62"/>
      <c r="B19" s="63"/>
      <c r="C19" s="62"/>
      <c r="D19" s="62"/>
      <c r="E19" s="62"/>
      <c r="F19" s="62"/>
      <c r="G19" s="62"/>
      <c r="H19" s="62"/>
      <c r="I19" s="62"/>
      <c r="J19" s="84" t="s">
        <v>44</v>
      </c>
      <c r="K19" s="62"/>
      <c r="L19" s="84"/>
      <c r="M19" s="62"/>
      <c r="N19" s="85"/>
      <c r="O19" s="86"/>
      <c r="P19" s="87" t="e">
        <f>#REF!</f>
        <v>#REF!</v>
      </c>
      <c r="Q19" s="62"/>
      <c r="R19" s="62"/>
      <c r="S19" s="80"/>
      <c r="T19" s="67"/>
    </row>
    <row r="20" spans="1:20" ht="20.100000000000001" customHeight="1" thickBot="1">
      <c r="A20" s="62"/>
      <c r="B20" s="63"/>
      <c r="C20" s="62"/>
      <c r="D20" s="62"/>
      <c r="E20" s="62"/>
      <c r="F20" s="62"/>
      <c r="G20" s="62"/>
      <c r="H20" s="62"/>
      <c r="I20" s="62"/>
      <c r="J20" s="84"/>
      <c r="K20" s="62"/>
      <c r="L20" s="84"/>
      <c r="M20" s="62"/>
      <c r="P20" s="62"/>
      <c r="Q20" s="52" t="s">
        <v>15</v>
      </c>
      <c r="R20" s="62"/>
      <c r="S20" s="80"/>
      <c r="T20" s="67"/>
    </row>
    <row r="21" spans="1:20" ht="20.100000000000001" customHeight="1">
      <c r="A21" s="62"/>
      <c r="B21" s="58"/>
      <c r="D21" s="158" t="s">
        <v>29</v>
      </c>
      <c r="E21" s="159" t="s">
        <v>30</v>
      </c>
      <c r="F21" s="159"/>
      <c r="G21" s="159"/>
      <c r="H21" s="159"/>
      <c r="I21" s="159"/>
      <c r="J21" s="159"/>
      <c r="K21" s="159"/>
      <c r="L21" s="159"/>
      <c r="M21" s="160"/>
      <c r="P21" s="81"/>
      <c r="Q21" s="81" t="s">
        <v>17</v>
      </c>
      <c r="R21" s="62"/>
      <c r="S21" s="80"/>
      <c r="T21" s="67"/>
    </row>
    <row r="22" spans="1:20" ht="20.100000000000001" customHeight="1">
      <c r="A22" s="62"/>
      <c r="B22" s="150"/>
      <c r="C22" s="88"/>
      <c r="D22" s="157"/>
      <c r="E22" s="88" t="s">
        <v>31</v>
      </c>
      <c r="F22" s="90"/>
      <c r="G22" s="90"/>
      <c r="H22" s="93"/>
      <c r="I22" s="90"/>
      <c r="J22" s="90"/>
      <c r="K22" s="90"/>
      <c r="L22" s="90"/>
      <c r="M22" s="161"/>
      <c r="N22" s="90"/>
      <c r="O22" s="88"/>
      <c r="P22" s="91"/>
      <c r="Q22" s="81" t="s">
        <v>18</v>
      </c>
      <c r="R22" s="62"/>
      <c r="S22" s="80"/>
      <c r="T22" s="64"/>
    </row>
    <row r="23" spans="1:20" ht="20.100000000000001" customHeight="1">
      <c r="A23" s="62"/>
      <c r="B23" s="151"/>
      <c r="C23" s="92"/>
      <c r="D23" s="156"/>
      <c r="E23" s="88" t="s">
        <v>32</v>
      </c>
      <c r="F23" s="90"/>
      <c r="G23" s="90"/>
      <c r="H23" s="93"/>
      <c r="I23" s="90"/>
      <c r="J23" s="90"/>
      <c r="K23" s="90"/>
      <c r="L23" s="90"/>
      <c r="M23" s="161"/>
      <c r="N23" s="92"/>
      <c r="O23" s="88"/>
      <c r="P23" s="90"/>
      <c r="Q23" s="81" t="s">
        <v>20</v>
      </c>
      <c r="S23" s="80"/>
      <c r="T23" s="67"/>
    </row>
    <row r="24" spans="1:20" ht="20.100000000000001" customHeight="1" thickBot="1">
      <c r="A24" s="62"/>
      <c r="B24" s="151"/>
      <c r="C24" s="88"/>
      <c r="D24" s="162"/>
      <c r="E24" s="163" t="s">
        <v>33</v>
      </c>
      <c r="F24" s="163"/>
      <c r="G24" s="163"/>
      <c r="H24" s="163"/>
      <c r="I24" s="163"/>
      <c r="J24" s="163"/>
      <c r="K24" s="163"/>
      <c r="L24" s="163"/>
      <c r="M24" s="164"/>
      <c r="N24" s="92"/>
      <c r="O24" s="88"/>
      <c r="P24" s="88"/>
      <c r="Q24" s="94" t="s">
        <v>22</v>
      </c>
      <c r="R24" s="94" t="s">
        <v>23</v>
      </c>
      <c r="S24" s="80"/>
      <c r="T24" s="67"/>
    </row>
    <row r="25" spans="1:20" ht="20.100000000000001" customHeight="1">
      <c r="A25" s="62"/>
      <c r="B25" s="150"/>
      <c r="C25" s="88"/>
      <c r="D25" s="92"/>
      <c r="E25" s="88"/>
      <c r="F25" s="90"/>
      <c r="G25" s="90"/>
      <c r="H25" s="93"/>
      <c r="I25" s="90"/>
      <c r="J25" s="90"/>
      <c r="K25" s="90"/>
      <c r="L25" s="90"/>
      <c r="M25" s="90"/>
      <c r="N25" s="90"/>
      <c r="O25" s="88"/>
      <c r="P25" s="88"/>
      <c r="Q25" s="169" t="s">
        <v>41</v>
      </c>
      <c r="T25" s="64"/>
    </row>
    <row r="26" spans="1:20" ht="20.100000000000001" customHeight="1">
      <c r="A26" s="62"/>
      <c r="B26" s="150"/>
      <c r="C26" s="92"/>
      <c r="D26" s="165" t="s">
        <v>35</v>
      </c>
      <c r="E26" s="166"/>
      <c r="F26" s="166"/>
      <c r="G26" s="166"/>
      <c r="H26" s="166"/>
      <c r="I26" s="166"/>
      <c r="J26" s="166"/>
      <c r="K26" s="166"/>
      <c r="L26" s="166"/>
      <c r="M26" s="166"/>
      <c r="N26" s="90"/>
      <c r="O26" s="88"/>
      <c r="P26" s="88"/>
      <c r="R26" s="62"/>
      <c r="S26" s="80"/>
      <c r="T26" s="69"/>
    </row>
    <row r="27" spans="1:20" ht="20.100000000000001" customHeight="1">
      <c r="A27" s="62"/>
      <c r="B27" s="150"/>
      <c r="C27" s="88"/>
      <c r="D27" s="167" t="s">
        <v>48</v>
      </c>
      <c r="E27" s="167"/>
      <c r="F27" s="167"/>
      <c r="G27" s="167"/>
      <c r="H27" s="167"/>
      <c r="I27" s="167"/>
      <c r="J27" s="167"/>
      <c r="K27" s="167"/>
      <c r="L27" s="167"/>
      <c r="M27" s="167"/>
      <c r="N27" s="88"/>
      <c r="O27" s="88"/>
      <c r="P27" s="88"/>
      <c r="R27" s="62"/>
      <c r="S27" s="80"/>
      <c r="T27" s="64"/>
    </row>
    <row r="28" spans="1:20" ht="20.100000000000001" customHeight="1">
      <c r="A28" s="62"/>
      <c r="B28" s="150"/>
      <c r="C28" s="88"/>
      <c r="D28" s="167" t="s">
        <v>49</v>
      </c>
      <c r="E28" s="167"/>
      <c r="F28" s="167"/>
      <c r="G28" s="167"/>
      <c r="H28" s="167"/>
      <c r="I28" s="167"/>
      <c r="J28" s="167"/>
      <c r="K28" s="167"/>
      <c r="L28" s="167"/>
      <c r="M28" s="167"/>
      <c r="N28" s="88"/>
      <c r="O28" s="88"/>
      <c r="P28" s="88"/>
      <c r="Q28" s="62"/>
      <c r="R28" s="62"/>
      <c r="S28" s="80"/>
      <c r="T28" s="64"/>
    </row>
    <row r="29" spans="1:20" ht="20.100000000000001" customHeight="1" thickBot="1">
      <c r="A29" s="62"/>
      <c r="B29" s="152"/>
      <c r="C29" s="70"/>
      <c r="D29" s="70"/>
      <c r="E29" s="70"/>
      <c r="F29" s="70"/>
      <c r="G29" s="70"/>
      <c r="H29" s="70"/>
      <c r="I29" s="70"/>
      <c r="J29" s="70"/>
      <c r="K29" s="70"/>
      <c r="L29" s="70"/>
      <c r="M29" s="70"/>
      <c r="N29" s="70"/>
      <c r="O29" s="70"/>
      <c r="P29" s="70"/>
      <c r="Q29" s="71"/>
      <c r="R29" s="71"/>
      <c r="S29" s="72"/>
      <c r="T29" s="73"/>
    </row>
  </sheetData>
  <mergeCells count="9">
    <mergeCell ref="F15:L16"/>
    <mergeCell ref="M15:Q16"/>
    <mergeCell ref="H17:I17"/>
    <mergeCell ref="C1:D1"/>
    <mergeCell ref="R1:T1"/>
    <mergeCell ref="I5:P7"/>
    <mergeCell ref="R6:T6"/>
    <mergeCell ref="C9:I9"/>
    <mergeCell ref="F13:P13"/>
  </mergeCells>
  <phoneticPr fontId="1"/>
  <pageMargins left="0.31496062992126" right="0.31496062992126" top="0.59055118110236204" bottom="0.196850393700787" header="0" footer="0"/>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見積書表紙</vt:lpstr>
      <vt:lpstr>明細</vt:lpstr>
      <vt:lpstr>性能明細書</vt:lpstr>
      <vt:lpstr>その他業務</vt:lpstr>
      <vt:lpstr>立替手数料</vt:lpstr>
      <vt:lpstr>請求書表紙</vt:lpstr>
      <vt:lpstr>見積書表紙!Print_Area</vt:lpstr>
      <vt:lpstr>立替手数料!Print_Area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2025-04-23T04:29:20Z</dcterms:modified>
</cp:coreProperties>
</file>